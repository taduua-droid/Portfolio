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Metrics" sheetId="2" state="visible" r:id="rId4"/>
    <sheet name="Discrepancy Listing" sheetId="3" state="visible" r:id="rId5"/>
    <sheet name="Query Log" sheetId="4" state="visible" r:id="rId6"/>
    <sheet name="Listing Review" sheetId="5" state="visible" r:id="rId7"/>
    <sheet name="Audit Trail" sheetId="6" state="visible" r:id="rId8"/>
    <sheet name="Re-run Results" sheetId="7" state="visible" r:id="rId9"/>
  </sheets>
  <definedNames>
    <definedName function="false" hidden="true" localSheetId="5" name="_xlnm._FilterDatabase" vbProcedure="false">'Audit Trail'!$A$1:$J$22</definedName>
    <definedName function="false" hidden="true" localSheetId="2" name="_xlnm._FilterDatabase" vbProcedure="false">'Discrepancy Listing'!$A$1:$J$26</definedName>
    <definedName function="false" hidden="true" localSheetId="4" name="_xlnm._FilterDatabase" vbProcedure="false">'Listing Review'!$A$1:$F$7</definedName>
    <definedName function="false" hidden="true" localSheetId="3" name="_xlnm._FilterDatabase" vbProcedure="false">'Query Log'!$A$1:$S$21</definedName>
    <definedName function="false" hidden="true" localSheetId="6" name="_xlnm._FilterDatabase" vbProcedure="false">'Re-run Results'!$A$1:$G$8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<sst xmlns="http://schemas.openxmlformats.org/spreadsheetml/2006/main" count="956" uniqueCount="414">
  <si>
    <t xml:space="preserve">YKP3089C017 — Data Review Package</t>
  </si>
  <si>
    <t xml:space="preserve">Version</t>
  </si>
  <si>
    <t xml:space="preserve">1.0 — 02-Oct-2026</t>
  </si>
  <si>
    <t xml:space="preserve">Prepared by</t>
  </si>
  <si>
    <t xml:space="preserve">Tracy Adu</t>
  </si>
  <si>
    <t xml:space="preserve">What this shows</t>
  </si>
  <si>
    <t xml:space="preserve">A full offline data review cycle for a mock epilepsy trial, run without an EDC: programmed edit checks in Python, a discrepancy listing, queries to sites, corrections with an audit trail, and a re-run that confirms the data is clean.</t>
  </si>
  <si>
    <t xml:space="preserve">Why offline</t>
  </si>
  <si>
    <t xml:space="preserve">Without an EDC, hard checks can't block bad entries at the point of data entry. Every check runs after the fact, and a person reviews every hit. That is the gap an EDC closes.</t>
  </si>
  <si>
    <t xml:space="preserve">Disclaimer</t>
  </si>
  <si>
    <t xml:space="preserve">Synthetic data. Site responses, dates and turnaround times are simulated to show a realistic review cycle. Not affiliated with SK Life Science.</t>
  </si>
  <si>
    <t xml:space="preserve">WORKFLOW</t>
  </si>
  <si>
    <t xml:space="preserve">1. Run checks</t>
  </si>
  <si>
    <t xml:space="preserve">run_edit_checks.py runs all 19 programmed checks and the review listings against the v1.0 data and writes the Discrepancy Listing.</t>
  </si>
  <si>
    <t xml:space="preserve">2. Review hits</t>
  </si>
  <si>
    <t xml:space="preserve">Each hit is reviewed before any query goes out. Two pairs of hits shared a root cause, so each pair became one query; the site isn't asked the same thing twice. Screen failures and the dose-reduction listing were handled as listing reviews, with no query.</t>
  </si>
  <si>
    <t xml:space="preserve">3. Query and resolve</t>
  </si>
  <si>
    <t xml:space="preserve">Queries were answered by sites, verified by data management, and closed. One answer didn't resolve the issue, so the query was re-issued.</t>
  </si>
  <si>
    <t xml:space="preserve">4. Correct and audit</t>
  </si>
  <si>
    <t xml:space="preserve">Every data change is logged with old value, new value, who, when, and the query behind it (21 CFR Part 11-style audit trail). Corrected data = v1.1.</t>
  </si>
  <si>
    <t xml:space="preserve">5. Re-run</t>
  </si>
  <si>
    <t xml:space="preserve">Checks re-run on v1.1. The only remaining hits were already reviewed and closed (true values confirmed by the site, one escalation, listing items).</t>
  </si>
  <si>
    <t xml:space="preserve">KEY RESULTS (live)</t>
  </si>
  <si>
    <t xml:space="preserve">Discrepancy listing hits</t>
  </si>
  <si>
    <t xml:space="preserve">Queries issued</t>
  </si>
  <si>
    <t xml:space="preserve">Queries closed</t>
  </si>
  <si>
    <t xml:space="preserve">Data changes (audit trail)</t>
  </si>
  <si>
    <t xml:space="preserve">New discrepancies after re-run</t>
  </si>
  <si>
    <t xml:space="preserve">YKP3089C017 — Data Review Metrics (as of 02-Oct-2026)</t>
  </si>
  <si>
    <t xml:space="preserve">Volume</t>
  </si>
  <si>
    <t xml:space="preserve">Count</t>
  </si>
  <si>
    <t xml:space="preserve">Discrepancy listing hits (v1.0 data)</t>
  </si>
  <si>
    <t xml:space="preserve">   Closed</t>
  </si>
  <si>
    <t xml:space="preserve">   Open</t>
  </si>
  <si>
    <t xml:space="preserve">   Re-queried (first answer didn't resolve it)</t>
  </si>
  <si>
    <t xml:space="preserve">Listing review log entries (no query sent)</t>
  </si>
  <si>
    <t xml:space="preserve">Data changes in audit trail</t>
  </si>
  <si>
    <t xml:space="preserve">Resolution Type</t>
  </si>
  <si>
    <t xml:space="preserve">Queries</t>
  </si>
  <si>
    <t xml:space="preserve">% of Queries</t>
  </si>
  <si>
    <t xml:space="preserve">Data corrected</t>
  </si>
  <si>
    <t xml:space="preserve">Confirmed correct</t>
  </si>
  <si>
    <t xml:space="preserve">Escalated</t>
  </si>
  <si>
    <t xml:space="preserve">Form</t>
  </si>
  <si>
    <t xml:space="preserve">DM — Demographics</t>
  </si>
  <si>
    <t xml:space="preserve">SZ — Seizure Diary</t>
  </si>
  <si>
    <t xml:space="preserve">AE — Adverse Events</t>
  </si>
  <si>
    <t xml:space="preserve">Check Severity</t>
  </si>
  <si>
    <t xml:space="preserve">Hard</t>
  </si>
  <si>
    <t xml:space="preserve">Soft</t>
  </si>
  <si>
    <t xml:space="preserve">Hard + Soft (one query, two checks)</t>
  </si>
  <si>
    <t xml:space="preserve">Site</t>
  </si>
  <si>
    <t xml:space="preserve">Avg Days to Response</t>
  </si>
  <si>
    <t xml:space="preserve">Max Days to Response</t>
  </si>
  <si>
    <t xml:space="preserve">Answered ≤ 7 Days</t>
  </si>
  <si>
    <t xml:space="preserve">Site 001</t>
  </si>
  <si>
    <t xml:space="preserve">Site 002</t>
  </si>
  <si>
    <t xml:space="preserve">Site 003</t>
  </si>
  <si>
    <t xml:space="preserve">Turnaround (all queries)</t>
  </si>
  <si>
    <t xml:space="preserve">Value</t>
  </si>
  <si>
    <t xml:space="preserve">Average days to site response</t>
  </si>
  <si>
    <t xml:space="preserve">Average days from open to close</t>
  </si>
  <si>
    <t xml:space="preserve">Answered within 7 days</t>
  </si>
  <si>
    <t xml:space="preserve">Query Rate</t>
  </si>
  <si>
    <t xml:space="preserve">Data points entered (v1.0)</t>
  </si>
  <si>
    <t xml:space="preserve">Queries per 1,000 data points</t>
  </si>
  <si>
    <t xml:space="preserve">Data points = non-blank entered fields (derived and pre-populated fields excluded), counted by script from v1.0. Blue = hardcoded input.</t>
  </si>
  <si>
    <t xml:space="preserve">Check ID</t>
  </si>
  <si>
    <t xml:space="preserve">Queries Raised</t>
  </si>
  <si>
    <t xml:space="preserve">DM01</t>
  </si>
  <si>
    <t xml:space="preserve">DM02</t>
  </si>
  <si>
    <t xml:space="preserve">DM03</t>
  </si>
  <si>
    <t xml:space="preserve">DM04</t>
  </si>
  <si>
    <t xml:space="preserve">DM05</t>
  </si>
  <si>
    <t xml:space="preserve">DM06</t>
  </si>
  <si>
    <t xml:space="preserve">SZ01</t>
  </si>
  <si>
    <t xml:space="preserve">SZ02</t>
  </si>
  <si>
    <t xml:space="preserve">SZ03</t>
  </si>
  <si>
    <t xml:space="preserve">SZ04</t>
  </si>
  <si>
    <t xml:space="preserve">SZ05</t>
  </si>
  <si>
    <t xml:space="preserve">SZ06</t>
  </si>
  <si>
    <t xml:space="preserve">AE01</t>
  </si>
  <si>
    <t xml:space="preserve">AE02</t>
  </si>
  <si>
    <t xml:space="preserve">AE03</t>
  </si>
  <si>
    <t xml:space="preserve">AE04</t>
  </si>
  <si>
    <t xml:space="preserve">AE05</t>
  </si>
  <si>
    <t xml:space="preserve">AE06</t>
  </si>
  <si>
    <t xml:space="preserve">AE07</t>
  </si>
  <si>
    <t xml:space="preserve">One query can cover two checks with the same root cause, so this column can sum to more than the query total.</t>
  </si>
  <si>
    <t xml:space="preserve">Re-run After Corrections (v1.1 data)</t>
  </si>
  <si>
    <t xml:space="preserve">Hits on re-run</t>
  </si>
  <si>
    <t xml:space="preserve">   Already reviewed and closed</t>
  </si>
  <si>
    <t xml:space="preserve">   NEW discrepancies</t>
  </si>
  <si>
    <t xml:space="preserve">Hard / Soft</t>
  </si>
  <si>
    <t xml:space="preserve">SUBJID</t>
  </si>
  <si>
    <t xml:space="preserve">SITEID</t>
  </si>
  <si>
    <t xml:space="preserve">Record</t>
  </si>
  <si>
    <t xml:space="preserve">Field(s)</t>
  </si>
  <si>
    <t xml:space="preserve">Value Found</t>
  </si>
  <si>
    <t xml:space="preserve">Query Text</t>
  </si>
  <si>
    <t xml:space="preserve">Action Type</t>
  </si>
  <si>
    <t xml:space="preserve">01001001</t>
  </si>
  <si>
    <t xml:space="preserve">001</t>
  </si>
  <si>
    <t xml:space="preserve">AE</t>
  </si>
  <si>
    <t xml:space="preserve">AESPID 1: Headache</t>
  </si>
  <si>
    <t xml:space="preserve">AESTDAT, AEENDAT</t>
  </si>
  <si>
    <t xml:space="preserve">04-APR-2026 / 06-APR-2025</t>
  </si>
  <si>
    <t xml:space="preserve">AE end date is before the start date. Please verify both dates against source.</t>
  </si>
  <si>
    <t xml:space="preserve">Query</t>
  </si>
  <si>
    <t xml:space="preserve">01002001</t>
  </si>
  <si>
    <t xml:space="preserve">002</t>
  </si>
  <si>
    <t xml:space="preserve">AESPID 2: Fatigue</t>
  </si>
  <si>
    <t xml:space="preserve">AEONGO, AEENDAT</t>
  </si>
  <si>
    <t xml:space="preserve">AEONGO Y; end 24-MAY-2026</t>
  </si>
  <si>
    <t xml:space="preserve">The ongoing status, end date and outcome for this event are inconsistent. Please review.</t>
  </si>
  <si>
    <t xml:space="preserve">AEONGO, AEOUT</t>
  </si>
  <si>
    <t xml:space="preserve">AEONGO Y; outcome RECOVERED/RESOLVED</t>
  </si>
  <si>
    <t xml:space="preserve">01002005</t>
  </si>
  <si>
    <t xml:space="preserve">AESPID 1: Pneumonia</t>
  </si>
  <si>
    <t xml:space="preserve">AESER, criteria</t>
  </si>
  <si>
    <t xml:space="preserve">AESER Y</t>
  </si>
  <si>
    <t xml:space="preserve">This event's seriousness and seriousness criteria are inconsistent. Please review.</t>
  </si>
  <si>
    <t xml:space="preserve">01003001</t>
  </si>
  <si>
    <t xml:space="preserve">003</t>
  </si>
  <si>
    <t xml:space="preserve">AESTDAT</t>
  </si>
  <si>
    <t xml:space="preserve">5 days before consent</t>
  </si>
  <si>
    <t xml:space="preserve">AE start date is before informed consent. Please verify the start date, or confirm whether this condition should be recorded as medical history.</t>
  </si>
  <si>
    <t xml:space="preserve">01001003</t>
  </si>
  <si>
    <t xml:space="preserve">AESPID 1: Nausea</t>
  </si>
  <si>
    <t xml:space="preserve">AESTDAT, AEREL</t>
  </si>
  <si>
    <t xml:space="preserve">Before first dose; AEREL POSSIBLE</t>
  </si>
  <si>
    <t xml:space="preserve">This event started before the first dose of study drug, and relationship is recorded as POSSIBLE. Please review the relationship assessment per protocol section 10.3.</t>
  </si>
  <si>
    <t xml:space="preserve">01002004</t>
  </si>
  <si>
    <t xml:space="preserve">AESPID 3: Increased seizure frequency</t>
  </si>
  <si>
    <t xml:space="preserve">AETERM</t>
  </si>
  <si>
    <t xml:space="preserve">Increased seizure frequency</t>
  </si>
  <si>
    <t xml:space="preserve">Seizures are normally recorded in the seizure diary. Please confirm this event meets the AE definition in protocol section 10.4.1 (a measurable increase in frequency or duration, or a pattern distinguishable from the subject's usual seizures).</t>
  </si>
  <si>
    <t xml:space="preserve">01003002</t>
  </si>
  <si>
    <t xml:space="preserve">AESPID 3: Seizure</t>
  </si>
  <si>
    <t xml:space="preserve">Seizure</t>
  </si>
  <si>
    <t xml:space="preserve">01002006</t>
  </si>
  <si>
    <t xml:space="preserve">DM</t>
  </si>
  <si>
    <t xml:space="preserve">Demographics</t>
  </si>
  <si>
    <t xml:space="preserve">AGE</t>
  </si>
  <si>
    <t xml:space="preserve">73</t>
  </si>
  <si>
    <t xml:space="preserve">Age at consent (73) is outside the protocol range of 18-70 years (Inclusion 1). Please verify date of birth and date of consent against source.</t>
  </si>
  <si>
    <t xml:space="preserve">01003005</t>
  </si>
  <si>
    <t xml:space="preserve">SUBJID, SITEID</t>
  </si>
  <si>
    <t xml:space="preserve">SITEID 002</t>
  </si>
  <si>
    <t xml:space="preserve">Screening number must be 8 digits, with digits 3-5 matching the site number. Please correct.</t>
  </si>
  <si>
    <t xml:space="preserve">01001002</t>
  </si>
  <si>
    <t xml:space="preserve">SEX, CHILDPOT</t>
  </si>
  <si>
    <t xml:space="preserve">SEX F, CHILDPOT (blank)</t>
  </si>
  <si>
    <t xml:space="preserve">Childbearing potential must be answered for female subjects and left blank for male subjects. Please review.</t>
  </si>
  <si>
    <t xml:space="preserve">01002002</t>
  </si>
  <si>
    <t xml:space="preserve">RFICDAT, RANDDAT</t>
  </si>
  <si>
    <t xml:space="preserve">61 days</t>
  </si>
  <si>
    <t xml:space="preserve">Randomization date is 61 days after informed consent. The protocol specifies an 8-week baseline (Visit 1, Day -56 to Visit 3, Day 1, +/-2 days). Please verify both dates.</t>
  </si>
  <si>
    <t xml:space="preserve">RANDDAT, EXSTDAT, FDOSSITE</t>
  </si>
  <si>
    <t xml:space="preserve">First dose 3 day(s) after randomization; FDOSSITE N</t>
  </si>
  <si>
    <t xml:space="preserve">Date of first dose is 3 day(s) after randomization. Per protocol, dosing begins the morning after randomization, or on Day 1 if given at the site. Please verify.</t>
  </si>
  <si>
    <t xml:space="preserve">ML01</t>
  </si>
  <si>
    <t xml:space="preserve">-</t>
  </si>
  <si>
    <t xml:space="preserve">01001005</t>
  </si>
  <si>
    <t xml:space="preserve">AESPID 1: Somnolence</t>
  </si>
  <si>
    <t xml:space="preserve">AEACN, AESTDAT</t>
  </si>
  <si>
    <t xml:space="preserve">Dose reduced; AE start Study Day 6</t>
  </si>
  <si>
    <t xml:space="preserve">Reviewer: confirm the reduction date from dosing records. Reductions in Week 1 or after Week 8 are not permitted.</t>
  </si>
  <si>
    <t xml:space="preserve">Listing review</t>
  </si>
  <si>
    <t xml:space="preserve">SZ</t>
  </si>
  <si>
    <t xml:space="preserve">SZDAT 11-JUN-2026</t>
  </si>
  <si>
    <t xml:space="preserve">SZDIARY, counts</t>
  </si>
  <si>
    <t xml:space="preserve">SZDIARY Y; counts missing (SZCP)</t>
  </si>
  <si>
    <t xml:space="preserve">Diary data recorded for this day is Y, but the seizure counts are missing (SZCP). Please review against the diary page.</t>
  </si>
  <si>
    <t xml:space="preserve">SZDAT 21-APR-2026</t>
  </si>
  <si>
    <t xml:space="preserve">SZDIARY N; counts entered</t>
  </si>
  <si>
    <t xml:space="preserve">Diary data recorded for this day is N, but the seizure counts are entered. Please review against the diary page.</t>
  </si>
  <si>
    <t xml:space="preserve">SZDAT 29-MAR-2026</t>
  </si>
  <si>
    <t xml:space="preserve">SUBJID, SZDAT</t>
  </si>
  <si>
    <t xml:space="preserve">2 records</t>
  </si>
  <si>
    <t xml:space="preserve">A diary record already exists for this date. Please remove the duplicate or correct the date.</t>
  </si>
  <si>
    <t xml:space="preserve">01002007</t>
  </si>
  <si>
    <t xml:space="preserve">SZDAT 11-OCT-2026</t>
  </si>
  <si>
    <t xml:space="preserve">SZDAT, VISDAT</t>
  </si>
  <si>
    <t xml:space="preserve">SZDAT 11-OCT-2026; diary returned 16-SEP-2026</t>
  </si>
  <si>
    <t xml:space="preserve">Diary date is before informed consent or after the visit at which the diary was returned. Please verify the date against the diary.</t>
  </si>
  <si>
    <t xml:space="preserve">SZDAT 09-JUL-2026</t>
  </si>
  <si>
    <t xml:space="preserve">SZCP</t>
  </si>
  <si>
    <t xml:space="preserve">22</t>
  </si>
  <si>
    <t xml:space="preserve">22 seizures (SZCP) are recorded on 09-JUL-2026. Please confirm against the source diary.</t>
  </si>
  <si>
    <t xml:space="preserve">01003004</t>
  </si>
  <si>
    <t xml:space="preserve">SZDAT 17-JUN-2026</t>
  </si>
  <si>
    <t xml:space="preserve">40</t>
  </si>
  <si>
    <t xml:space="preserve">40 seizures (SZCP) are recorded on 17-JUN-2026. Please confirm against the source diary.</t>
  </si>
  <si>
    <t xml:space="preserve">01001007</t>
  </si>
  <si>
    <t xml:space="preserve">03-JUN-2026 to 07-JUN-2026</t>
  </si>
  <si>
    <t xml:space="preserve">SZDAT</t>
  </si>
  <si>
    <t xml:space="preserve">5 day(s) missing</t>
  </si>
  <si>
    <t xml:space="preserve">No diary record exists for 03-JUN-2026 to 07-JUN-2026. Please enter the diary data, or enter records with 'diary data recorded' = No if the diary was not completed for those days.</t>
  </si>
  <si>
    <t xml:space="preserve">11-SEP-2026</t>
  </si>
  <si>
    <t xml:space="preserve">1 day(s) missing</t>
  </si>
  <si>
    <t xml:space="preserve">No diary record exists for 11-SEP-2026. Please enter the diary data, or enter records with 'diary data recorded' = No if the diary was not completed for those days.</t>
  </si>
  <si>
    <t xml:space="preserve">01001004</t>
  </si>
  <si>
    <t xml:space="preserve">Baseline period</t>
  </si>
  <si>
    <t xml:space="preserve">SZCOUNT (derived)</t>
  </si>
  <si>
    <t xml:space="preserve">total 5 &lt; 8; weeks 1-4 = 1 &lt; 3</t>
  </si>
  <si>
    <t xml:space="preserve">Per the diary data entered, the subject does not appear to meet the baseline seizure criteria (Inclusion 6): total 5 &lt; 8; weeks 1-4 = 1 &lt; 3. Please verify the diary entries against source.</t>
  </si>
  <si>
    <t xml:space="preserve">Listing review (not randomized)</t>
  </si>
  <si>
    <t xml:space="preserve">01003003</t>
  </si>
  <si>
    <t xml:space="preserve">seizure-free run of 33 days &gt; 25</t>
  </si>
  <si>
    <t xml:space="preserve">Per the diary data entered, the subject does not appear to meet the baseline seizure criteria (Inclusion 6): seizure-free run of 33 days &gt; 25. Please verify the diary entries against source.</t>
  </si>
  <si>
    <t xml:space="preserve">01003006</t>
  </si>
  <si>
    <t xml:space="preserve">weeks 1-4 = 2 &lt; 3</t>
  </si>
  <si>
    <t xml:space="preserve">Per the diary data entered, the subject does not appear to meet the baseline seizure criteria (Inclusion 6): weeks 1-4 = 2 &lt; 3. Please verify the diary entries against source.</t>
  </si>
  <si>
    <t xml:space="preserve">Query ID</t>
  </si>
  <si>
    <t xml:space="preserve">Check ID(s)</t>
  </si>
  <si>
    <t xml:space="preserve">Date Opened</t>
  </si>
  <si>
    <t xml:space="preserve">Site Response</t>
  </si>
  <si>
    <t xml:space="preserve">Date Answered</t>
  </si>
  <si>
    <t xml:space="preserve">Re-queried?</t>
  </si>
  <si>
    <t xml:space="preserve">DM Review / Action</t>
  </si>
  <si>
    <t xml:space="preserve">Date Closed</t>
  </si>
  <si>
    <t xml:space="preserve">Status</t>
  </si>
  <si>
    <t xml:space="preserve">Days to Site Response</t>
  </si>
  <si>
    <t xml:space="preserve">Days Open</t>
  </si>
  <si>
    <t xml:space="preserve">QRY-001</t>
  </si>
  <si>
    <t xml:space="preserve">CHILDPOT</t>
  </si>
  <si>
    <t xml:space="preserve">Subject is post-menopausal per medical history documented at Visit 1. Entered N.</t>
  </si>
  <si>
    <t xml:space="preserve">N</t>
  </si>
  <si>
    <t xml:space="preserve">Verified. Closed.</t>
  </si>
  <si>
    <t xml:space="preserve">Closed</t>
  </si>
  <si>
    <t xml:space="preserve">QRY-002</t>
  </si>
  <si>
    <t xml:space="preserve">Coordinator covers sites 002 and 003 and selected the wrong site. Site number corrected to 003.</t>
  </si>
  <si>
    <t xml:space="preserve">Verified. Note: a live EDC would have blocked this entry. Closed.</t>
  </si>
  <si>
    <t xml:space="preserve">QRY-003</t>
  </si>
  <si>
    <t xml:space="preserve">Whole record</t>
  </si>
  <si>
    <t xml:space="preserve">Headache began before consent and did not worsen afterward. Recorded in medical history; AE deleted per investigator.</t>
  </si>
  <si>
    <t xml:space="preserve">Verified deletion and medical history entry. Closed.</t>
  </si>
  <si>
    <t xml:space="preserve">QRY-004</t>
  </si>
  <si>
    <t xml:space="preserve">BRTHDAT (AGE)</t>
  </si>
  <si>
    <t xml:space="preserve">Verified against the copy of the subject's driver's license in the subject file. Birth year was mistyped; DOB corrected to 28-OCT-1982.</t>
  </si>
  <si>
    <t xml:space="preserve">Correction verified; derived age now 43. Closed.</t>
  </si>
  <si>
    <t xml:space="preserve">QRY-005</t>
  </si>
  <si>
    <t xml:space="preserve">RANDDAT</t>
  </si>
  <si>
    <t xml:space="preserve">Both dates verified against visit notes. Visit 3 was delayed because the subject was out of state for a family emergency. Out-of-window visit reported to the CRA as a protocol deviation.</t>
  </si>
  <si>
    <t xml:space="preserve">Dates confirmed correct; no data change. Deviation noted. Closed.</t>
  </si>
  <si>
    <t xml:space="preserve">QRY-006</t>
  </si>
  <si>
    <t xml:space="preserve">AEREL</t>
  </si>
  <si>
    <t xml:space="preserve">Investigator reviewed: nausea started during baseline, before any study drug. Relationship changed to Unrelated.</t>
  </si>
  <si>
    <t xml:space="preserve">QRY-007</t>
  </si>
  <si>
    <t xml:space="preserve">EXSTDAT</t>
  </si>
  <si>
    <t xml:space="preserve">Date was copied from the dosing card label. Subject's dosing log shows the first dose the morning after randomization. Corrected.</t>
  </si>
  <si>
    <t xml:space="preserve">Correction verified against the expected Day 2 first dose. Closed.</t>
  </si>
  <si>
    <t xml:space="preserve">QRY-008</t>
  </si>
  <si>
    <t xml:space="preserve">Diary page was entered twice after a system time-out. Duplicate deleted.</t>
  </si>
  <si>
    <t xml:space="preserve">Verified one record remains. Closed.</t>
  </si>
  <si>
    <t xml:space="preserve">QRY-009</t>
  </si>
  <si>
    <t xml:space="preserve">Diary entries re-verified against source. Data are correct: 2 qualifying seizures in weeks 1-4 of baseline.</t>
  </si>
  <si>
    <t xml:space="preserve">Data confirmed. Escalated to CRA and medical monitor as a potential eligibility deviation (Inclusion 6); the subject's continuation is a sponsor decision outside data review. Closed.</t>
  </si>
  <si>
    <t xml:space="preserve">QRY-010</t>
  </si>
  <si>
    <t xml:space="preserve">AEENDAT</t>
  </si>
  <si>
    <t xml:space="preserve">End date year was mistyped. Correct end date is 06-APR-2026. Corrected.</t>
  </si>
  <si>
    <t xml:space="preserve">QRY-011</t>
  </si>
  <si>
    <t xml:space="preserve">[04-MAY-2026] Subject reported no seizures that day.  [10-MAY-2026] Diary page for this date is blank. Zeros removed; 'diary data recorded' remains No.</t>
  </si>
  <si>
    <t xml:space="preserve">Y</t>
  </si>
  <si>
    <t xml:space="preserve">Re-queried 05-MAY-2026: If the subject had no seizures, 'diary data recorded' should be Yes with counts of 0. If the diary page is blank, counts should be blank. Please confirm which applies against the diary page. Verified. Day is now excluded from the seizure-rate denominator instead of counting as seizure-free. Closed.</t>
  </si>
  <si>
    <t xml:space="preserve">QRY-012</t>
  </si>
  <si>
    <t xml:space="preserve">AEONGO</t>
  </si>
  <si>
    <t xml:space="preserve">Hard + Soft</t>
  </si>
  <si>
    <t xml:space="preserve">Event resolved on 24-MAY-2026; 'ongoing' was never updated. Changed to No.</t>
  </si>
  <si>
    <t xml:space="preserve">Both AE02 hits (end date and outcome) cleared by one change. Closed.</t>
  </si>
  <si>
    <t xml:space="preserve">QRY-013</t>
  </si>
  <si>
    <t xml:space="preserve">Investigator confirms a marked increase over the subject's usual frequency for 5 days (visible in the diary), which meets protocol section 10.4.1. Data correct as entered.</t>
  </si>
  <si>
    <t xml:space="preserve">Confirmed against diary data for those dates. Closed.</t>
  </si>
  <si>
    <t xml:space="preserve">QRY-014</t>
  </si>
  <si>
    <t xml:space="preserve">Whole records</t>
  </si>
  <si>
    <t xml:space="preserve">One diary page (5 days) was not transcribed. Entered from the source diary.</t>
  </si>
  <si>
    <t xml:space="preserve">Verified 5 records added. Closed.</t>
  </si>
  <si>
    <t xml:space="preserve">QRY-015</t>
  </si>
  <si>
    <t xml:space="preserve">Typical seizure for this subject, already recorded in the diary. AE deleted per investigator.</t>
  </si>
  <si>
    <t xml:space="preserve">Verified the seizure remains in the diary. Closed.</t>
  </si>
  <si>
    <t xml:space="preserve">QRY-016</t>
  </si>
  <si>
    <t xml:space="preserve">Diary shows no complex partial seizures on this date. Entered 0.</t>
  </si>
  <si>
    <t xml:space="preserve">QRY-017</t>
  </si>
  <si>
    <t xml:space="preserve">AESHOSP</t>
  </si>
  <si>
    <t xml:space="preserve">Subject was admitted for 4 days (discharge summary on file). 'Requires or prolongs hospitalization' changed to Yes. SAE form was sent to safety within 24 hours.</t>
  </si>
  <si>
    <t xml:space="preserve">Verified. Event added to the SAE reconciliation list (ML02). Closed.</t>
  </si>
  <si>
    <t xml:space="preserve">QRY-018</t>
  </si>
  <si>
    <t xml:space="preserve">Transcription error; diary shows 4. Corrected.</t>
  </si>
  <si>
    <t xml:space="preserve">QRY-019</t>
  </si>
  <si>
    <t xml:space="preserve">Verified against the diary: 22 complex partial seizures recorded individually with separate times. Subject reported a very difficult day. Data correct as entered.</t>
  </si>
  <si>
    <t xml:space="preserve">Confirmed correct. Seizures were individually distinguishable, so not a cluster (see spec Open Question Q5). Closed.</t>
  </si>
  <si>
    <t xml:space="preserve">QRY-020</t>
  </si>
  <si>
    <t xml:space="preserve">SZDAT 11-OCT-2026 (should be 11-SEP-2026)</t>
  </si>
  <si>
    <t xml:space="preserve">SZ03, SZ05</t>
  </si>
  <si>
    <t xml:space="preserve">Diary date 11-OCT-2026 is after the visit at which the diary was returned (16-SEP-2026), and no diary record exists for 11-SEP-2026. Please verify the date against the diary.</t>
  </si>
  <si>
    <t xml:space="preserve">Month was mistyped. Diary date is 11-SEP-2026. Corrected.</t>
  </si>
  <si>
    <t xml:space="preserve">One root cause, two checks: raised as one query so the site isn't asked the same thing twice. Correction clears both hits. Closed.</t>
  </si>
  <si>
    <t xml:space="preserve">Review ID</t>
  </si>
  <si>
    <t xml:space="preserve">Finding</t>
  </si>
  <si>
    <t xml:space="preserve">Date Reviewed</t>
  </si>
  <si>
    <t xml:space="preserve">Reviewer Outcome</t>
  </si>
  <si>
    <t xml:space="preserve">LR-01</t>
  </si>
  <si>
    <t xml:space="preserve">Baseline: total 5 &lt; 8; weeks 1-4 = 1 &lt; 3</t>
  </si>
  <si>
    <t xml:space="preserve">24-MAR-2026</t>
  </si>
  <si>
    <t xml:space="preserve">Subject was not randomized (screen failure). The listing worked as intended. No query.</t>
  </si>
  <si>
    <t xml:space="preserve">LR-02</t>
  </si>
  <si>
    <t xml:space="preserve">Baseline: seizure-free run of 33 days &gt; 25</t>
  </si>
  <si>
    <t xml:space="preserve">16-MAR-2026</t>
  </si>
  <si>
    <t xml:space="preserve">LR-03</t>
  </si>
  <si>
    <t xml:space="preserve">Dose reduced; AE start Study Day 6 (Week 1)</t>
  </si>
  <si>
    <t xml:space="preserve">20-APR-2026</t>
  </si>
  <si>
    <t xml:space="preserve">Dosing records show the reduction was made at Visit 4 (Study Day 15, Week 3), which is permitted. The AE started in Week 1, but the dose did not change until Week 3. No query, no deviation.</t>
  </si>
  <si>
    <t xml:space="preserve">LR-04</t>
  </si>
  <si>
    <t xml:space="preserve">—</t>
  </si>
  <si>
    <t xml:space="preserve">0 hits</t>
  </si>
  <si>
    <t xml:space="preserve">No planted error. Zero hits confirms the check raises no false positives.</t>
  </si>
  <si>
    <t xml:space="preserve">LR-05</t>
  </si>
  <si>
    <t xml:space="preserve">No fatal events in the data.</t>
  </si>
  <si>
    <t xml:space="preserve">LR-06</t>
  </si>
  <si>
    <t xml:space="preserve">ML02</t>
  </si>
  <si>
    <t xml:space="preserve">01001002, 01002005</t>
  </si>
  <si>
    <t xml:space="preserve">2 serious AEs in the study data (Wrist fracture; Pneumonia)</t>
  </si>
  <si>
    <t xml:space="preserve">Pending</t>
  </si>
  <si>
    <t xml:space="preserve">Reconciliation against the safety database is pending. It needs a safety-database extract, which is not part of this package.</t>
  </si>
  <si>
    <t xml:space="preserve">Audit ID</t>
  </si>
  <si>
    <t xml:space="preserve">Date of Change</t>
  </si>
  <si>
    <t xml:space="preserve">Field</t>
  </si>
  <si>
    <t xml:space="preserve">Old Value</t>
  </si>
  <si>
    <t xml:space="preserve">New Value</t>
  </si>
  <si>
    <t xml:space="preserve">Changed By</t>
  </si>
  <si>
    <t xml:space="preserve">Reason (Query)</t>
  </si>
  <si>
    <t xml:space="preserve">AT-001</t>
  </si>
  <si>
    <t xml:space="preserve">(blank)</t>
  </si>
  <si>
    <t xml:space="preserve">Site 001 coordinator</t>
  </si>
  <si>
    <t xml:space="preserve">QRY-001: Subject is post-menopausal per medical history documented at Visit 1. Entered N.</t>
  </si>
  <si>
    <t xml:space="preserve">AT-002</t>
  </si>
  <si>
    <t xml:space="preserve">Site 003 coordinator</t>
  </si>
  <si>
    <t xml:space="preserve">QRY-002: Coordinator covers sites 002 and 003 and selected the wrong site. Site number corrected to 003.</t>
  </si>
  <si>
    <t xml:space="preserve">AT-003</t>
  </si>
  <si>
    <t xml:space="preserve">Active record</t>
  </si>
  <si>
    <t xml:space="preserve">(deleted)</t>
  </si>
  <si>
    <t xml:space="preserve">QRY-003: Headache began before consent and did not worsen afterward. Recorded in medical history; AE deleted per investigator.</t>
  </si>
  <si>
    <t xml:space="preserve">AT-004</t>
  </si>
  <si>
    <t xml:space="preserve">BRTHDAT</t>
  </si>
  <si>
    <t xml:space="preserve">28-OCT-1952</t>
  </si>
  <si>
    <t xml:space="preserve">28-OCT-1982</t>
  </si>
  <si>
    <t xml:space="preserve">Site 002 coordinator</t>
  </si>
  <si>
    <t xml:space="preserve">QRY-004: Verified against the copy of the subject's driver's license in the subject file. Birth year was mistyped; DOB corrected to 28-OCT-1982.</t>
  </si>
  <si>
    <t xml:space="preserve">AT-005</t>
  </si>
  <si>
    <t xml:space="preserve">43</t>
  </si>
  <si>
    <t xml:space="preserve">System (derived)</t>
  </si>
  <si>
    <t xml:space="preserve">AT-006</t>
  </si>
  <si>
    <t xml:space="preserve">POSSIBLE</t>
  </si>
  <si>
    <t xml:space="preserve">UNRELATED</t>
  </si>
  <si>
    <t xml:space="preserve">QRY-006: Investigator reviewed: nausea started during baseline, before any study drug. Relationship changed to Unrelated.</t>
  </si>
  <si>
    <t xml:space="preserve">AT-007</t>
  </si>
  <si>
    <t xml:space="preserve">12-MAR-2026</t>
  </si>
  <si>
    <t xml:space="preserve">10-MAR-2026</t>
  </si>
  <si>
    <t xml:space="preserve">QRY-007: Date was copied from the dosing card label. Subject's dosing log shows the first dose the morning after randomization. Corrected.</t>
  </si>
  <si>
    <t xml:space="preserve">AT-008</t>
  </si>
  <si>
    <t xml:space="preserve">Duplicate record</t>
  </si>
  <si>
    <t xml:space="preserve">QRY-008: Diary page was entered twice after a system time-out. Duplicate deleted.</t>
  </si>
  <si>
    <t xml:space="preserve">AT-009</t>
  </si>
  <si>
    <t xml:space="preserve">06-APR-2025</t>
  </si>
  <si>
    <t xml:space="preserve">06-APR-2026</t>
  </si>
  <si>
    <t xml:space="preserve">QRY-010: End date year was mistyped. Correct end date is 06-APR-2026. Corrected.</t>
  </si>
  <si>
    <t xml:space="preserve">AT-010</t>
  </si>
  <si>
    <t xml:space="preserve">SZSPM, SZSPNM, SZCP, SZSG</t>
  </si>
  <si>
    <t xml:space="preserve">0, 0, 0, 0</t>
  </si>
  <si>
    <t xml:space="preserve">QRY-011: Diary page for this date is blank. Zeros removed; 'diary data recorded' remains No.</t>
  </si>
  <si>
    <t xml:space="preserve">AT-011</t>
  </si>
  <si>
    <t xml:space="preserve">QRY-012: Event resolved on 24-MAY-2026; 'ongoing' was never updated. Changed to No.</t>
  </si>
  <si>
    <t xml:space="preserve">AT-012</t>
  </si>
  <si>
    <t xml:space="preserve">SZDAT 03-JUN-2026</t>
  </si>
  <si>
    <t xml:space="preserve">(no record)</t>
  </si>
  <si>
    <t xml:space="preserve">SZDIARY Y; SPM 0.0, SPNM 1.0, CP 0.0, SG 0.0</t>
  </si>
  <si>
    <t xml:space="preserve">QRY-014: One diary page (5 days) was not transcribed. Entered from the source diary.</t>
  </si>
  <si>
    <t xml:space="preserve">AT-013</t>
  </si>
  <si>
    <t xml:space="preserve">SZDAT 04-JUN-2026</t>
  </si>
  <si>
    <t xml:space="preserve">SZDIARY Y; SPM 0.0, SPNM 1.0, CP 1.0, SG 0.0</t>
  </si>
  <si>
    <t xml:space="preserve">AT-014</t>
  </si>
  <si>
    <t xml:space="preserve">SZDAT 05-JUN-2026</t>
  </si>
  <si>
    <t xml:space="preserve">SZDIARY Y; SPM 0.0, SPNM 0.0, CP 0.0, SG 0.0</t>
  </si>
  <si>
    <t xml:space="preserve">AT-015</t>
  </si>
  <si>
    <t xml:space="preserve">SZDAT 06-JUN-2026</t>
  </si>
  <si>
    <t xml:space="preserve">SZDIARY Y; SPM 0.0, SPNM 0.0, CP 2.0, SG 0.0</t>
  </si>
  <si>
    <t xml:space="preserve">AT-016</t>
  </si>
  <si>
    <t xml:space="preserve">SZDAT 07-JUN-2026</t>
  </si>
  <si>
    <t xml:space="preserve">SZDIARY Y; SPM 1.0, SPNM 0.0, CP 1.0, SG 0.0</t>
  </si>
  <si>
    <t xml:space="preserve">AT-017</t>
  </si>
  <si>
    <t xml:space="preserve">QRY-015: Typical seizure for this subject, already recorded in the diary. AE deleted per investigator.</t>
  </si>
  <si>
    <t xml:space="preserve">AT-018</t>
  </si>
  <si>
    <t xml:space="preserve">0</t>
  </si>
  <si>
    <t xml:space="preserve">QRY-016: Diary shows no complex partial seizures on this date. Entered 0.</t>
  </si>
  <si>
    <t xml:space="preserve">AT-019</t>
  </si>
  <si>
    <t xml:space="preserve">QRY-017: Subject was admitted for 4 days (discharge summary on file). 'Requires or prolongs hospitalization' changed to Yes. SAE form was sent to safety within 24 hours.</t>
  </si>
  <si>
    <t xml:space="preserve">AT-020</t>
  </si>
  <si>
    <t xml:space="preserve">4</t>
  </si>
  <si>
    <t xml:space="preserve">QRY-018: Transcription error; diary shows 4. Corrected.</t>
  </si>
  <si>
    <t xml:space="preserve">AT-021</t>
  </si>
  <si>
    <t xml:space="preserve">Diary record</t>
  </si>
  <si>
    <t xml:space="preserve">11-OCT-2026</t>
  </si>
  <si>
    <t xml:space="preserve">QRY-020: Month was mistyped. Diary date is 11-SEP-2026. Corrected.</t>
  </si>
  <si>
    <t xml:space="preserve">Previously Reviewed As</t>
  </si>
  <si>
    <t xml:space="preserve">Re-run Status</t>
  </si>
  <si>
    <t xml:space="preserve">QRY-013 (Confirmed correct)</t>
  </si>
  <si>
    <t xml:space="preserve">Previously closed. Not re-queried.</t>
  </si>
  <si>
    <t xml:space="preserve">QRY-005 (Confirmed correct)</t>
  </si>
  <si>
    <t xml:space="preserve">LR-03 (Listing review)</t>
  </si>
  <si>
    <t xml:space="preserve">QRY-019 (Confirmed correct)</t>
  </si>
  <si>
    <t xml:space="preserve">LR-01 (Screen failure)</t>
  </si>
  <si>
    <t xml:space="preserve">LR-02 (Screen failure)</t>
  </si>
  <si>
    <t xml:space="preserve">QRY-009 (Escalated)</t>
  </si>
</sst>
</file>

<file path=xl/styles.xml><?xml version="1.0" encoding="utf-8"?>
<styleSheet xmlns="http://schemas.openxmlformats.org/spreadsheetml/2006/main">
  <numFmts count="8">
    <numFmt numFmtId="164" formatCode="General"/>
    <numFmt numFmtId="165" formatCode="General"/>
    <numFmt numFmtId="166" formatCode="0%"/>
    <numFmt numFmtId="167" formatCode="0.0"/>
    <numFmt numFmtId="168" formatCode="0"/>
    <numFmt numFmtId="169" formatCode="#,##0"/>
    <numFmt numFmtId="170" formatCode="0.00"/>
    <numFmt numFmtId="171" formatCode="dd\-mmm\-yyyy"/>
  </numFmts>
  <fonts count="13">
    <font>
      <sz val="11"/>
      <color theme="1"/>
      <name val="Calibri"/>
      <family val="2"/>
      <charset val="1"/>
    </font>
    <font>
      <sz val="10"/>
      <name val="Arial"/>
      <family val="0"/>
    </font>
    <font>
      <sz val="10"/>
      <name val="Arial"/>
      <family val="0"/>
    </font>
    <font>
      <sz val="10"/>
      <name val="Arial"/>
      <family val="0"/>
    </font>
    <font>
      <b val="true"/>
      <sz val="14"/>
      <color rgb="FF1F4E5A"/>
      <name val="Arial"/>
      <family val="0"/>
      <charset val="1"/>
    </font>
    <font>
      <sz val="10"/>
      <name val="Arial"/>
      <family val="0"/>
      <charset val="1"/>
    </font>
    <font>
      <b val="true"/>
      <sz val="10"/>
      <name val="Arial"/>
      <family val="0"/>
      <charset val="1"/>
    </font>
    <font>
      <b val="true"/>
      <sz val="10"/>
      <color rgb="FFFFFFFF"/>
      <name val="Arial"/>
      <family val="0"/>
      <charset val="1"/>
    </font>
    <font>
      <sz val="10"/>
      <color rgb="FF0000FF"/>
      <name val="Arial"/>
      <family val="0"/>
      <charset val="1"/>
    </font>
    <font>
      <i val="true"/>
      <sz val="9"/>
      <name val="Arial"/>
      <family val="0"/>
      <charset val="1"/>
    </font>
    <font>
      <b val="true"/>
      <sz val="18"/>
      <color rgb="FF000000"/>
      <name val="Calibri"/>
      <family val="2"/>
    </font>
    <font>
      <sz val="10"/>
      <color rgb="FF000000"/>
      <name val="Calibri"/>
      <family val="2"/>
    </font>
    <font>
      <b val="true"/>
      <sz val="10"/>
      <color rgb="FF000000"/>
      <name val="Calibri"/>
      <family val="2"/>
    </font>
  </fonts>
  <fills count="3">
    <fill>
      <patternFill patternType="none"/>
    </fill>
    <fill>
      <patternFill patternType="gray125"/>
    </fill>
    <fill>
      <patternFill patternType="solid">
        <fgColor rgb="FF1F4E5A"/>
        <bgColor rgb="FF003366"/>
      </patternFill>
    </fill>
  </fills>
  <borders count="2">
    <border diagonalUp="false" diagonalDown="false">
      <left/>
      <right/>
      <top/>
      <bottom/>
      <diagonal/>
    </border>
    <border diagonalUp="false" diagonalDown="false">
      <left style="thin">
        <color rgb="FFC9D3D6"/>
      </left>
      <right style="thin">
        <color rgb="FFC9D3D6"/>
      </right>
      <top style="thin">
        <color rgb="FFC9D3D6"/>
      </top>
      <bottom style="thin">
        <color rgb="FFC9D3D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left"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true" applyProtection="false">
      <alignment horizontal="left"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6" fontId="5" fillId="0" borderId="1" xfId="0" applyFont="true" applyBorder="true" applyAlignment="false" applyProtection="false">
      <alignment horizontal="general" vertical="bottom" textRotation="0" wrapText="false" indent="0" shrinkToFit="false"/>
      <protection locked="true" hidden="false"/>
    </xf>
    <xf numFmtId="167" fontId="5" fillId="0" borderId="1" xfId="0" applyFont="true" applyBorder="true" applyAlignment="false" applyProtection="false">
      <alignment horizontal="general" vertical="bottom" textRotation="0" wrapText="false" indent="0" shrinkToFit="false"/>
      <protection locked="true" hidden="false"/>
    </xf>
    <xf numFmtId="168" fontId="5" fillId="0" borderId="1" xfId="0" applyFont="true" applyBorder="true" applyAlignment="false" applyProtection="false">
      <alignment horizontal="general" vertical="bottom" textRotation="0" wrapText="false" indent="0" shrinkToFit="false"/>
      <protection locked="true" hidden="false"/>
    </xf>
    <xf numFmtId="169" fontId="8" fillId="0" borderId="1" xfId="0" applyFont="true" applyBorder="true" applyAlignment="false" applyProtection="false">
      <alignment horizontal="general" vertical="bottom" textRotation="0" wrapText="false" indent="0" shrinkToFit="false"/>
      <protection locked="true" hidden="false"/>
    </xf>
    <xf numFmtId="170" fontId="5" fillId="0"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71" fontId="5"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4E5A"/>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D9D9"/>
      <rgbColor rgb="FF878787"/>
      <rgbColor rgb="FF9999FF"/>
      <rgbColor rgb="FF993366"/>
      <rgbColor rgb="FFFFFFCC"/>
      <rgbColor rgb="FFCCFFFF"/>
      <rgbColor rgb="FF660066"/>
      <rgbColor rgb="FFFF8080"/>
      <rgbColor rgb="FF0066CC"/>
      <rgbColor rgb="FFC9D3D6"/>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4F81BD"/>
      <rgbColor rgb="FF969696"/>
      <rgbColor rgb="FF003366"/>
      <rgbColor rgb="FF339966"/>
      <rgbColor rgb="FF003300"/>
      <rgbColor rgb="FF333300"/>
      <rgbColor rgb="FF993300"/>
      <rgbColor rgb="FF993366"/>
      <rgbColor rgb="FF333399"/>
      <rgbColor rgb="FF1F4E5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Average days to site response</a:t>
            </a:r>
          </a:p>
        </c:rich>
      </c:tx>
      <c:overlay val="0"/>
      <c:spPr>
        <a:noFill/>
        <a:ln w="0">
          <a:noFill/>
        </a:ln>
      </c:spPr>
    </c:title>
    <c:autoTitleDeleted val="0"/>
    <c:plotArea>
      <c:barChart>
        <c:barDir val="col"/>
        <c:grouping val="clustered"/>
        <c:varyColors val="0"/>
        <c:ser>
          <c:idx val="0"/>
          <c:order val="0"/>
          <c:tx>
            <c:strRef>
              <c:f>Metrics!C27</c:f>
              <c:strCache>
                <c:ptCount val="1"/>
                <c:pt idx="0">
                  <c:v>Avg Days to Response</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Metrics!$A$28:$A$30</c:f>
              <c:strCache>
                <c:ptCount val="3"/>
                <c:pt idx="0">
                  <c:v>Site 001</c:v>
                </c:pt>
                <c:pt idx="1">
                  <c:v>Site 002</c:v>
                </c:pt>
                <c:pt idx="2">
                  <c:v>Site 003</c:v>
                </c:pt>
              </c:strCache>
            </c:strRef>
          </c:cat>
          <c:val>
            <c:numRef>
              <c:f>Metrics!$C$28:$C$30</c:f>
              <c:numCache>
                <c:formatCode>0.0</c:formatCode>
                <c:ptCount val="3"/>
                <c:pt idx="0">
                  <c:v>3.5</c:v>
                </c:pt>
                <c:pt idx="1">
                  <c:v>6.28571428571429</c:v>
                </c:pt>
                <c:pt idx="2">
                  <c:v>6.57142857142857</c:v>
                </c:pt>
              </c:numCache>
            </c:numRef>
          </c:val>
        </c:ser>
        <c:gapWidth val="150"/>
        <c:overlap val="0"/>
        <c:axId val="519964"/>
        <c:axId val="48248088"/>
      </c:barChart>
      <c:catAx>
        <c:axId val="51996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8248088"/>
        <c:crosses val="autoZero"/>
        <c:auto val="1"/>
        <c:lblAlgn val="ctr"/>
        <c:lblOffset val="100"/>
        <c:noMultiLvlLbl val="0"/>
      </c:catAx>
      <c:valAx>
        <c:axId val="48248088"/>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Days</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19964"/>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0</xdr:colOff>
      <xdr:row>1</xdr:row>
      <xdr:rowOff>160560</xdr:rowOff>
    </xdr:from>
    <xdr:to>
      <xdr:col>13</xdr:col>
      <xdr:colOff>398880</xdr:colOff>
      <xdr:row>15</xdr:row>
      <xdr:rowOff>13320</xdr:rowOff>
    </xdr:to>
    <xdr:graphicFrame>
      <xdr:nvGraphicFramePr>
        <xdr:cNvPr id="0" name="Chart 1"/>
        <xdr:cNvGraphicFramePr/>
      </xdr:nvGraphicFramePr>
      <xdr:xfrm>
        <a:off x="7800840" y="380880"/>
        <a:ext cx="4679640" cy="25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00"/>
  </cols>
  <sheetData>
    <row r="1" customFormat="false" ht="17.35" hidden="false" customHeight="false" outlineLevel="0" collapsed="false">
      <c r="A1" s="1" t="s">
        <v>0</v>
      </c>
      <c r="B1" s="2"/>
    </row>
    <row r="2" customFormat="false" ht="15" hidden="false" customHeight="false" outlineLevel="0" collapsed="false">
      <c r="A2" s="3" t="s">
        <v>1</v>
      </c>
      <c r="B2" s="2" t="s">
        <v>2</v>
      </c>
    </row>
    <row r="3" customFormat="false" ht="15" hidden="false" customHeight="false" outlineLevel="0" collapsed="false">
      <c r="A3" s="3" t="s">
        <v>3</v>
      </c>
      <c r="B3" s="2" t="s">
        <v>4</v>
      </c>
    </row>
    <row r="4" customFormat="false" ht="23.85" hidden="false" customHeight="false" outlineLevel="0" collapsed="false">
      <c r="A4" s="3" t="s">
        <v>5</v>
      </c>
      <c r="B4" s="2" t="s">
        <v>6</v>
      </c>
    </row>
    <row r="5" customFormat="false" ht="23.85" hidden="false" customHeight="false" outlineLevel="0" collapsed="false">
      <c r="A5" s="3" t="s">
        <v>7</v>
      </c>
      <c r="B5" s="2" t="s">
        <v>8</v>
      </c>
    </row>
    <row r="6" customFormat="false" ht="23.85" hidden="false" customHeight="false" outlineLevel="0" collapsed="false">
      <c r="A6" s="3" t="s">
        <v>9</v>
      </c>
      <c r="B6" s="2" t="s">
        <v>10</v>
      </c>
    </row>
    <row r="7" customFormat="false" ht="15" hidden="false" customHeight="false" outlineLevel="0" collapsed="false">
      <c r="A7" s="3"/>
      <c r="B7" s="2"/>
    </row>
    <row r="8" customFormat="false" ht="15" hidden="false" customHeight="false" outlineLevel="0" collapsed="false">
      <c r="A8" s="3" t="s">
        <v>11</v>
      </c>
      <c r="B8" s="2"/>
    </row>
    <row r="9" customFormat="false" ht="23.85" hidden="false" customHeight="false" outlineLevel="0" collapsed="false">
      <c r="A9" s="3" t="s">
        <v>12</v>
      </c>
      <c r="B9" s="2" t="s">
        <v>13</v>
      </c>
    </row>
    <row r="10" customFormat="false" ht="35.05" hidden="false" customHeight="false" outlineLevel="0" collapsed="false">
      <c r="A10" s="3" t="s">
        <v>14</v>
      </c>
      <c r="B10" s="2" t="s">
        <v>15</v>
      </c>
    </row>
    <row r="11" customFormat="false" ht="23.85" hidden="false" customHeight="false" outlineLevel="0" collapsed="false">
      <c r="A11" s="3" t="s">
        <v>16</v>
      </c>
      <c r="B11" s="2" t="s">
        <v>17</v>
      </c>
    </row>
    <row r="12" customFormat="false" ht="23.85" hidden="false" customHeight="false" outlineLevel="0" collapsed="false">
      <c r="A12" s="3" t="s">
        <v>18</v>
      </c>
      <c r="B12" s="2" t="s">
        <v>19</v>
      </c>
    </row>
    <row r="13" customFormat="false" ht="23.85" hidden="false" customHeight="false" outlineLevel="0" collapsed="false">
      <c r="A13" s="3" t="s">
        <v>20</v>
      </c>
      <c r="B13" s="2" t="s">
        <v>21</v>
      </c>
    </row>
    <row r="14" customFormat="false" ht="15" hidden="false" customHeight="false" outlineLevel="0" collapsed="false">
      <c r="A14" s="3"/>
      <c r="B14" s="2"/>
    </row>
    <row r="15" customFormat="false" ht="15" hidden="false" customHeight="false" outlineLevel="0" collapsed="false">
      <c r="A15" s="3" t="s">
        <v>22</v>
      </c>
      <c r="B15" s="2"/>
    </row>
    <row r="16" customFormat="false" ht="15" hidden="false" customHeight="false" outlineLevel="0" collapsed="false">
      <c r="A16" s="4" t="s">
        <v>23</v>
      </c>
      <c r="B16" s="5" t="n">
        <f aca="false">Metrics!B4</f>
        <v>25</v>
      </c>
    </row>
    <row r="17" customFormat="false" ht="15" hidden="false" customHeight="false" outlineLevel="0" collapsed="false">
      <c r="A17" s="4" t="s">
        <v>24</v>
      </c>
      <c r="B17" s="5" t="n">
        <f aca="false">Metrics!B5</f>
        <v>20</v>
      </c>
    </row>
    <row r="18" customFormat="false" ht="15" hidden="false" customHeight="false" outlineLevel="0" collapsed="false">
      <c r="A18" s="4" t="s">
        <v>25</v>
      </c>
      <c r="B18" s="5" t="n">
        <f aca="false">Metrics!B6</f>
        <v>20</v>
      </c>
    </row>
    <row r="19" customFormat="false" ht="15" hidden="false" customHeight="false" outlineLevel="0" collapsed="false">
      <c r="A19" s="4" t="s">
        <v>26</v>
      </c>
      <c r="B19" s="5" t="n">
        <f aca="false">Metrics!B10</f>
        <v>21</v>
      </c>
    </row>
    <row r="20" customFormat="false" ht="15" hidden="false" customHeight="false" outlineLevel="0" collapsed="false">
      <c r="A20" s="4" t="s">
        <v>27</v>
      </c>
      <c r="B20" s="5" t="n">
        <f aca="false">Metrics!B67</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5" min="2" style="0" width="16"/>
  </cols>
  <sheetData>
    <row r="1" customFormat="false" ht="17.35" hidden="false" customHeight="false" outlineLevel="0" collapsed="false">
      <c r="A1" s="6" t="s">
        <v>28</v>
      </c>
    </row>
    <row r="3" customFormat="false" ht="15" hidden="false" customHeight="false" outlineLevel="0" collapsed="false">
      <c r="A3" s="7" t="s">
        <v>29</v>
      </c>
      <c r="B3" s="7" t="s">
        <v>30</v>
      </c>
    </row>
    <row r="4" customFormat="false" ht="15" hidden="false" customHeight="false" outlineLevel="0" collapsed="false">
      <c r="A4" s="8" t="s">
        <v>31</v>
      </c>
      <c r="B4" s="8" t="n">
        <f aca="false">COUNTA('Discrepancy Listing'!A:A)-1</f>
        <v>25</v>
      </c>
    </row>
    <row r="5" customFormat="false" ht="15" hidden="false" customHeight="false" outlineLevel="0" collapsed="false">
      <c r="A5" s="8" t="s">
        <v>24</v>
      </c>
      <c r="B5" s="8" t="n">
        <f aca="false">COUNTA('Query Log'!A:A)-1</f>
        <v>20</v>
      </c>
    </row>
    <row r="6" customFormat="false" ht="15" hidden="false" customHeight="false" outlineLevel="0" collapsed="false">
      <c r="A6" s="8" t="s">
        <v>32</v>
      </c>
      <c r="B6" s="8" t="n">
        <f aca="false">COUNTIF('Query Log'!P:P,"Closed")</f>
        <v>20</v>
      </c>
    </row>
    <row r="7" customFormat="false" ht="15" hidden="false" customHeight="false" outlineLevel="0" collapsed="false">
      <c r="A7" s="8" t="s">
        <v>33</v>
      </c>
      <c r="B7" s="8" t="n">
        <f aca="false">COUNTIF('Query Log'!P:P,"Open")</f>
        <v>0</v>
      </c>
    </row>
    <row r="8" customFormat="false" ht="15" hidden="false" customHeight="false" outlineLevel="0" collapsed="false">
      <c r="A8" s="8" t="s">
        <v>34</v>
      </c>
      <c r="B8" s="8" t="n">
        <f aca="false">COUNTIF('Query Log'!M:M,"Y")</f>
        <v>1</v>
      </c>
    </row>
    <row r="9" customFormat="false" ht="15" hidden="false" customHeight="false" outlineLevel="0" collapsed="false">
      <c r="A9" s="8" t="s">
        <v>35</v>
      </c>
      <c r="B9" s="8" t="n">
        <f aca="false">COUNTA('Listing Review'!A:A)-1</f>
        <v>6</v>
      </c>
    </row>
    <row r="10" customFormat="false" ht="15" hidden="false" customHeight="false" outlineLevel="0" collapsed="false">
      <c r="A10" s="8" t="s">
        <v>36</v>
      </c>
      <c r="B10" s="8" t="n">
        <f aca="false">COUNTA('Audit Trail'!A:A)-1</f>
        <v>21</v>
      </c>
    </row>
    <row r="12" customFormat="false" ht="15" hidden="false" customHeight="false" outlineLevel="0" collapsed="false">
      <c r="A12" s="7" t="s">
        <v>37</v>
      </c>
      <c r="B12" s="7" t="s">
        <v>38</v>
      </c>
      <c r="C12" s="7" t="s">
        <v>39</v>
      </c>
    </row>
    <row r="13" customFormat="false" ht="15" hidden="false" customHeight="false" outlineLevel="0" collapsed="false">
      <c r="A13" s="8" t="s">
        <v>40</v>
      </c>
      <c r="B13" s="8" t="n">
        <f aca="false">COUNTIF('Query Log'!Q:Q,"Data corrected")</f>
        <v>16</v>
      </c>
      <c r="C13" s="9" t="n">
        <f aca="false">B13/$B$5</f>
        <v>0.8</v>
      </c>
    </row>
    <row r="14" customFormat="false" ht="15" hidden="false" customHeight="false" outlineLevel="0" collapsed="false">
      <c r="A14" s="8" t="s">
        <v>41</v>
      </c>
      <c r="B14" s="8" t="n">
        <f aca="false">COUNTIF('Query Log'!Q:Q,"Confirmed correct")</f>
        <v>3</v>
      </c>
      <c r="C14" s="9" t="n">
        <f aca="false">B14/$B$5</f>
        <v>0.15</v>
      </c>
    </row>
    <row r="15" customFormat="false" ht="15" hidden="false" customHeight="false" outlineLevel="0" collapsed="false">
      <c r="A15" s="8" t="s">
        <v>42</v>
      </c>
      <c r="B15" s="8" t="n">
        <f aca="false">COUNTIF('Query Log'!Q:Q,"Escalated")</f>
        <v>1</v>
      </c>
      <c r="C15" s="9" t="n">
        <f aca="false">B15/$B$5</f>
        <v>0.05</v>
      </c>
    </row>
    <row r="17" customFormat="false" ht="15" hidden="false" customHeight="false" outlineLevel="0" collapsed="false">
      <c r="A17" s="7" t="s">
        <v>43</v>
      </c>
      <c r="B17" s="7" t="s">
        <v>38</v>
      </c>
      <c r="C17" s="7" t="s">
        <v>39</v>
      </c>
    </row>
    <row r="18" customFormat="false" ht="15" hidden="false" customHeight="false" outlineLevel="0" collapsed="false">
      <c r="A18" s="8" t="s">
        <v>44</v>
      </c>
      <c r="B18" s="8" t="n">
        <f aca="false">COUNTIF('Query Log'!D:D,"DM")</f>
        <v>5</v>
      </c>
      <c r="C18" s="9" t="n">
        <f aca="false">B18/$B$5</f>
        <v>0.25</v>
      </c>
    </row>
    <row r="19" customFormat="false" ht="15" hidden="false" customHeight="false" outlineLevel="0" collapsed="false">
      <c r="A19" s="8" t="s">
        <v>45</v>
      </c>
      <c r="B19" s="8" t="n">
        <f aca="false">COUNTIF('Query Log'!D:D,"SZ")</f>
        <v>8</v>
      </c>
      <c r="C19" s="9" t="n">
        <f aca="false">B19/$B$5</f>
        <v>0.4</v>
      </c>
    </row>
    <row r="20" customFormat="false" ht="15" hidden="false" customHeight="false" outlineLevel="0" collapsed="false">
      <c r="A20" s="8" t="s">
        <v>46</v>
      </c>
      <c r="B20" s="8" t="n">
        <f aca="false">COUNTIF('Query Log'!D:D,"AE")</f>
        <v>7</v>
      </c>
      <c r="C20" s="9" t="n">
        <f aca="false">B20/$B$5</f>
        <v>0.35</v>
      </c>
    </row>
    <row r="22" customFormat="false" ht="15" hidden="false" customHeight="false" outlineLevel="0" collapsed="false">
      <c r="A22" s="7" t="s">
        <v>47</v>
      </c>
      <c r="B22" s="7" t="s">
        <v>38</v>
      </c>
    </row>
    <row r="23" customFormat="false" ht="15" hidden="false" customHeight="false" outlineLevel="0" collapsed="false">
      <c r="A23" s="8" t="s">
        <v>48</v>
      </c>
      <c r="B23" s="8" t="n">
        <f aca="false">COUNTIF('Query Log'!H:H,"Hard")</f>
        <v>7</v>
      </c>
    </row>
    <row r="24" customFormat="false" ht="15" hidden="false" customHeight="false" outlineLevel="0" collapsed="false">
      <c r="A24" s="8" t="s">
        <v>49</v>
      </c>
      <c r="B24" s="8" t="n">
        <f aca="false">COUNTIF('Query Log'!H:H,"Soft")</f>
        <v>11</v>
      </c>
    </row>
    <row r="25" customFormat="false" ht="15" hidden="false" customHeight="false" outlineLevel="0" collapsed="false">
      <c r="A25" s="8" t="s">
        <v>50</v>
      </c>
      <c r="B25" s="8" t="n">
        <f aca="false">COUNTIF('Query Log'!H:H,"Hard + Soft")</f>
        <v>2</v>
      </c>
    </row>
    <row r="27" customFormat="false" ht="23.85" hidden="false" customHeight="false" outlineLevel="0" collapsed="false">
      <c r="A27" s="7" t="s">
        <v>51</v>
      </c>
      <c r="B27" s="7" t="s">
        <v>38</v>
      </c>
      <c r="C27" s="7" t="s">
        <v>52</v>
      </c>
      <c r="D27" s="7" t="s">
        <v>53</v>
      </c>
      <c r="E27" s="7" t="s">
        <v>54</v>
      </c>
    </row>
    <row r="28" customFormat="false" ht="15" hidden="false" customHeight="false" outlineLevel="0" collapsed="false">
      <c r="A28" s="8" t="s">
        <v>55</v>
      </c>
      <c r="B28" s="8" t="n">
        <f aca="false">COUNTIF('Query Log'!B:B,"001")</f>
        <v>6</v>
      </c>
      <c r="C28" s="10" t="n">
        <f aca="false">AVERAGEIF('Query Log'!B:B,"001",'Query Log'!R:R)</f>
        <v>3.5</v>
      </c>
      <c r="D28" s="11" t="n">
        <f aca="false">_xlfn.MAXIFS('Query Log'!R:R,'Query Log'!B:B,"001")</f>
        <v>5</v>
      </c>
      <c r="E28" s="9" t="n">
        <f aca="false">COUNTIFS('Query Log'!B:B,"001",'Query Log'!R:R,"&lt;=7")/B28</f>
        <v>1</v>
      </c>
    </row>
    <row r="29" customFormat="false" ht="15" hidden="false" customHeight="false" outlineLevel="0" collapsed="false">
      <c r="A29" s="8" t="s">
        <v>56</v>
      </c>
      <c r="B29" s="8" t="n">
        <f aca="false">COUNTIF('Query Log'!B:B,"002")</f>
        <v>7</v>
      </c>
      <c r="C29" s="10" t="n">
        <f aca="false">AVERAGEIF('Query Log'!B:B,"002",'Query Log'!R:R)</f>
        <v>6.28571428571429</v>
      </c>
      <c r="D29" s="11" t="n">
        <f aca="false">_xlfn.MAXIFS('Query Log'!R:R,'Query Log'!B:B,"002")</f>
        <v>13</v>
      </c>
      <c r="E29" s="9" t="n">
        <f aca="false">COUNTIFS('Query Log'!B:B,"002",'Query Log'!R:R,"&lt;=7")/B29</f>
        <v>0.857142857142857</v>
      </c>
    </row>
    <row r="30" customFormat="false" ht="15" hidden="false" customHeight="false" outlineLevel="0" collapsed="false">
      <c r="A30" s="8" t="s">
        <v>57</v>
      </c>
      <c r="B30" s="8" t="n">
        <f aca="false">COUNTIF('Query Log'!B:B,"003")</f>
        <v>7</v>
      </c>
      <c r="C30" s="10" t="n">
        <f aca="false">AVERAGEIF('Query Log'!B:B,"003",'Query Log'!R:R)</f>
        <v>6.57142857142857</v>
      </c>
      <c r="D30" s="11" t="n">
        <f aca="false">_xlfn.MAXIFS('Query Log'!R:R,'Query Log'!B:B,"003")</f>
        <v>9</v>
      </c>
      <c r="E30" s="9" t="n">
        <f aca="false">COUNTIFS('Query Log'!B:B,"003",'Query Log'!R:R,"&lt;=7")/B30</f>
        <v>0.714285714285714</v>
      </c>
    </row>
    <row r="32" customFormat="false" ht="15" hidden="false" customHeight="false" outlineLevel="0" collapsed="false">
      <c r="A32" s="7" t="s">
        <v>58</v>
      </c>
      <c r="B32" s="7" t="s">
        <v>59</v>
      </c>
    </row>
    <row r="33" customFormat="false" ht="15" hidden="false" customHeight="false" outlineLevel="0" collapsed="false">
      <c r="A33" s="8" t="s">
        <v>60</v>
      </c>
      <c r="B33" s="10" t="n">
        <f aca="false">AVERAGE('Query Log'!R:R)</f>
        <v>5.55</v>
      </c>
    </row>
    <row r="34" customFormat="false" ht="15" hidden="false" customHeight="false" outlineLevel="0" collapsed="false">
      <c r="A34" s="8" t="s">
        <v>61</v>
      </c>
      <c r="B34" s="10" t="n">
        <f aca="false">AVERAGE('Query Log'!S:S)</f>
        <v>7.1</v>
      </c>
    </row>
    <row r="35" customFormat="false" ht="15" hidden="false" customHeight="false" outlineLevel="0" collapsed="false">
      <c r="A35" s="8" t="s">
        <v>62</v>
      </c>
      <c r="B35" s="9" t="n">
        <f aca="false">COUNTIF('Query Log'!R:R,"&lt;=7")/COUNT('Query Log'!R:R)</f>
        <v>0.85</v>
      </c>
    </row>
    <row r="37" customFormat="false" ht="15" hidden="false" customHeight="false" outlineLevel="0" collapsed="false">
      <c r="A37" s="7" t="s">
        <v>63</v>
      </c>
      <c r="B37" s="7" t="s">
        <v>59</v>
      </c>
    </row>
    <row r="38" customFormat="false" ht="15" hidden="false" customHeight="false" outlineLevel="0" collapsed="false">
      <c r="A38" s="8" t="s">
        <v>64</v>
      </c>
      <c r="B38" s="12" t="n">
        <v>31841</v>
      </c>
    </row>
    <row r="39" customFormat="false" ht="15" hidden="false" customHeight="false" outlineLevel="0" collapsed="false">
      <c r="A39" s="8" t="s">
        <v>65</v>
      </c>
      <c r="B39" s="13" t="n">
        <f aca="false">B5/B38*1000</f>
        <v>0.628120976099997</v>
      </c>
    </row>
    <row r="40" customFormat="false" ht="15" hidden="false" customHeight="false" outlineLevel="0" collapsed="false">
      <c r="A40" s="14" t="s">
        <v>66</v>
      </c>
    </row>
    <row r="42" customFormat="false" ht="15" hidden="false" customHeight="false" outlineLevel="0" collapsed="false">
      <c r="A42" s="7" t="s">
        <v>67</v>
      </c>
      <c r="B42" s="7" t="s">
        <v>68</v>
      </c>
    </row>
    <row r="43" customFormat="false" ht="15" hidden="false" customHeight="false" outlineLevel="0" collapsed="false">
      <c r="A43" s="8" t="s">
        <v>69</v>
      </c>
      <c r="B43" s="8" t="n">
        <f aca="false">COUNTIF('Query Log'!G:G,"*DM01*")</f>
        <v>1</v>
      </c>
    </row>
    <row r="44" customFormat="false" ht="15" hidden="false" customHeight="false" outlineLevel="0" collapsed="false">
      <c r="A44" s="8" t="s">
        <v>70</v>
      </c>
      <c r="B44" s="8" t="n">
        <f aca="false">COUNTIF('Query Log'!G:G,"*DM02*")</f>
        <v>1</v>
      </c>
    </row>
    <row r="45" customFormat="false" ht="15" hidden="false" customHeight="false" outlineLevel="0" collapsed="false">
      <c r="A45" s="8" t="s">
        <v>71</v>
      </c>
      <c r="B45" s="8" t="n">
        <f aca="false">COUNTIF('Query Log'!G:G,"*DM03*")</f>
        <v>1</v>
      </c>
    </row>
    <row r="46" customFormat="false" ht="15" hidden="false" customHeight="false" outlineLevel="0" collapsed="false">
      <c r="A46" s="8" t="s">
        <v>72</v>
      </c>
      <c r="B46" s="8" t="n">
        <f aca="false">COUNTIF('Query Log'!G:G,"*DM04*")</f>
        <v>0</v>
      </c>
    </row>
    <row r="47" customFormat="false" ht="15" hidden="false" customHeight="false" outlineLevel="0" collapsed="false">
      <c r="A47" s="8" t="s">
        <v>73</v>
      </c>
      <c r="B47" s="8" t="n">
        <f aca="false">COUNTIF('Query Log'!G:G,"*DM05*")</f>
        <v>1</v>
      </c>
    </row>
    <row r="48" customFormat="false" ht="15" hidden="false" customHeight="false" outlineLevel="0" collapsed="false">
      <c r="A48" s="8" t="s">
        <v>74</v>
      </c>
      <c r="B48" s="8" t="n">
        <f aca="false">COUNTIF('Query Log'!G:G,"*DM06*")</f>
        <v>1</v>
      </c>
    </row>
    <row r="49" customFormat="false" ht="15" hidden="false" customHeight="false" outlineLevel="0" collapsed="false">
      <c r="A49" s="8" t="s">
        <v>75</v>
      </c>
      <c r="B49" s="8" t="n">
        <f aca="false">COUNTIF('Query Log'!G:G,"*SZ01*")</f>
        <v>2</v>
      </c>
    </row>
    <row r="50" customFormat="false" ht="15" hidden="false" customHeight="false" outlineLevel="0" collapsed="false">
      <c r="A50" s="8" t="s">
        <v>76</v>
      </c>
      <c r="B50" s="8" t="n">
        <f aca="false">COUNTIF('Query Log'!G:G,"*SZ02*")</f>
        <v>1</v>
      </c>
    </row>
    <row r="51" customFormat="false" ht="15" hidden="false" customHeight="false" outlineLevel="0" collapsed="false">
      <c r="A51" s="8" t="s">
        <v>77</v>
      </c>
      <c r="B51" s="8" t="n">
        <f aca="false">COUNTIF('Query Log'!G:G,"*SZ03*")</f>
        <v>1</v>
      </c>
    </row>
    <row r="52" customFormat="false" ht="15" hidden="false" customHeight="false" outlineLevel="0" collapsed="false">
      <c r="A52" s="8" t="s">
        <v>78</v>
      </c>
      <c r="B52" s="8" t="n">
        <f aca="false">COUNTIF('Query Log'!G:G,"*SZ04*")</f>
        <v>2</v>
      </c>
    </row>
    <row r="53" customFormat="false" ht="15" hidden="false" customHeight="false" outlineLevel="0" collapsed="false">
      <c r="A53" s="8" t="s">
        <v>79</v>
      </c>
      <c r="B53" s="8" t="n">
        <f aca="false">COUNTIF('Query Log'!G:G,"*SZ05*")</f>
        <v>2</v>
      </c>
    </row>
    <row r="54" customFormat="false" ht="15" hidden="false" customHeight="false" outlineLevel="0" collapsed="false">
      <c r="A54" s="8" t="s">
        <v>80</v>
      </c>
      <c r="B54" s="8" t="n">
        <f aca="false">COUNTIF('Query Log'!G:G,"*SZ06*")</f>
        <v>1</v>
      </c>
    </row>
    <row r="55" customFormat="false" ht="15" hidden="false" customHeight="false" outlineLevel="0" collapsed="false">
      <c r="A55" s="8" t="s">
        <v>81</v>
      </c>
      <c r="B55" s="8" t="n">
        <f aca="false">COUNTIF('Query Log'!G:G,"*AE01*")</f>
        <v>1</v>
      </c>
    </row>
    <row r="56" customFormat="false" ht="15" hidden="false" customHeight="false" outlineLevel="0" collapsed="false">
      <c r="A56" s="8" t="s">
        <v>82</v>
      </c>
      <c r="B56" s="8" t="n">
        <f aca="false">COUNTIF('Query Log'!G:G,"*AE02*")</f>
        <v>1</v>
      </c>
    </row>
    <row r="57" customFormat="false" ht="15" hidden="false" customHeight="false" outlineLevel="0" collapsed="false">
      <c r="A57" s="8" t="s">
        <v>83</v>
      </c>
      <c r="B57" s="8" t="n">
        <f aca="false">COUNTIF('Query Log'!G:G,"*AE03*")</f>
        <v>1</v>
      </c>
    </row>
    <row r="58" customFormat="false" ht="15" hidden="false" customHeight="false" outlineLevel="0" collapsed="false">
      <c r="A58" s="8" t="s">
        <v>84</v>
      </c>
      <c r="B58" s="8" t="n">
        <f aca="false">COUNTIF('Query Log'!G:G,"*AE04*")</f>
        <v>1</v>
      </c>
    </row>
    <row r="59" customFormat="false" ht="15" hidden="false" customHeight="false" outlineLevel="0" collapsed="false">
      <c r="A59" s="8" t="s">
        <v>85</v>
      </c>
      <c r="B59" s="8" t="n">
        <f aca="false">COUNTIF('Query Log'!G:G,"*AE05*")</f>
        <v>1</v>
      </c>
    </row>
    <row r="60" customFormat="false" ht="15" hidden="false" customHeight="false" outlineLevel="0" collapsed="false">
      <c r="A60" s="8" t="s">
        <v>86</v>
      </c>
      <c r="B60" s="8" t="n">
        <f aca="false">COUNTIF('Query Log'!G:G,"*AE06*")</f>
        <v>2</v>
      </c>
    </row>
    <row r="61" customFormat="false" ht="15" hidden="false" customHeight="false" outlineLevel="0" collapsed="false">
      <c r="A61" s="8" t="s">
        <v>87</v>
      </c>
      <c r="B61" s="8" t="n">
        <f aca="false">COUNTIF('Query Log'!G:G,"*AE07*")</f>
        <v>0</v>
      </c>
    </row>
    <row r="62" customFormat="false" ht="15" hidden="false" customHeight="false" outlineLevel="0" collapsed="false">
      <c r="A62" s="14" t="s">
        <v>88</v>
      </c>
    </row>
    <row r="64" customFormat="false" ht="15" hidden="false" customHeight="false" outlineLevel="0" collapsed="false">
      <c r="A64" s="7" t="s">
        <v>89</v>
      </c>
      <c r="B64" s="7" t="s">
        <v>30</v>
      </c>
    </row>
    <row r="65" customFormat="false" ht="15" hidden="false" customHeight="false" outlineLevel="0" collapsed="false">
      <c r="A65" s="8" t="s">
        <v>90</v>
      </c>
      <c r="B65" s="8" t="n">
        <f aca="false">COUNTA('Re-run Results'!A:A)-1</f>
        <v>7</v>
      </c>
    </row>
    <row r="66" customFormat="false" ht="15" hidden="false" customHeight="false" outlineLevel="0" collapsed="false">
      <c r="A66" s="8" t="s">
        <v>91</v>
      </c>
      <c r="B66" s="8" t="n">
        <f aca="false">COUNTIF('Re-run Results'!G:G,"Previously*")</f>
        <v>7</v>
      </c>
    </row>
    <row r="67" customFormat="false" ht="15" hidden="false" customHeight="false" outlineLevel="0" collapsed="false">
      <c r="A67" s="8" t="s">
        <v>92</v>
      </c>
      <c r="B67" s="15" t="n">
        <f aca="false">COUNTIF('Re-run Results'!G:G,"NEW*")</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9"/>
    <col collapsed="false" customWidth="true" hidden="false" outlineLevel="0" max="3" min="3" style="0" width="11"/>
    <col collapsed="false" customWidth="true" hidden="false" outlineLevel="0" max="4" min="4" style="0" width="8"/>
    <col collapsed="false" customWidth="true" hidden="false" outlineLevel="0" max="5" min="5" style="0" width="7"/>
    <col collapsed="false" customWidth="true" hidden="false" outlineLevel="0" max="6" min="6" style="0" width="30"/>
    <col collapsed="false" customWidth="true" hidden="false" outlineLevel="0" max="7" min="7" style="0" width="20"/>
    <col collapsed="false" customWidth="true" hidden="false" outlineLevel="0" max="8" min="8" style="0" width="30"/>
    <col collapsed="false" customWidth="true" hidden="false" outlineLevel="0" max="9" min="9" style="0" width="70"/>
    <col collapsed="false" customWidth="true" hidden="false" outlineLevel="0" max="10" min="10" style="0" width="26"/>
  </cols>
  <sheetData>
    <row r="1" customFormat="false" ht="27.75" hidden="false" customHeight="true" outlineLevel="0" collapsed="false">
      <c r="A1" s="7" t="s">
        <v>67</v>
      </c>
      <c r="B1" s="7" t="s">
        <v>93</v>
      </c>
      <c r="C1" s="7" t="s">
        <v>94</v>
      </c>
      <c r="D1" s="7" t="s">
        <v>95</v>
      </c>
      <c r="E1" s="7" t="s">
        <v>43</v>
      </c>
      <c r="F1" s="7" t="s">
        <v>96</v>
      </c>
      <c r="G1" s="7" t="s">
        <v>97</v>
      </c>
      <c r="H1" s="7" t="s">
        <v>98</v>
      </c>
      <c r="I1" s="7" t="s">
        <v>99</v>
      </c>
      <c r="J1" s="7" t="s">
        <v>100</v>
      </c>
    </row>
    <row r="2" customFormat="false" ht="15" hidden="false" customHeight="false" outlineLevel="0" collapsed="false">
      <c r="A2" s="16" t="s">
        <v>81</v>
      </c>
      <c r="B2" s="16" t="s">
        <v>48</v>
      </c>
      <c r="C2" s="16" t="s">
        <v>101</v>
      </c>
      <c r="D2" s="16" t="s">
        <v>102</v>
      </c>
      <c r="E2" s="16" t="s">
        <v>103</v>
      </c>
      <c r="F2" s="16" t="s">
        <v>104</v>
      </c>
      <c r="G2" s="16" t="s">
        <v>105</v>
      </c>
      <c r="H2" s="16" t="s">
        <v>106</v>
      </c>
      <c r="I2" s="16" t="s">
        <v>107</v>
      </c>
      <c r="J2" s="16" t="s">
        <v>108</v>
      </c>
    </row>
    <row r="3" customFormat="false" ht="23.85" hidden="false" customHeight="false" outlineLevel="0" collapsed="false">
      <c r="A3" s="16" t="s">
        <v>82</v>
      </c>
      <c r="B3" s="16" t="s">
        <v>48</v>
      </c>
      <c r="C3" s="16" t="s">
        <v>109</v>
      </c>
      <c r="D3" s="16" t="s">
        <v>110</v>
      </c>
      <c r="E3" s="16" t="s">
        <v>103</v>
      </c>
      <c r="F3" s="16" t="s">
        <v>111</v>
      </c>
      <c r="G3" s="16" t="s">
        <v>112</v>
      </c>
      <c r="H3" s="16" t="s">
        <v>113</v>
      </c>
      <c r="I3" s="16" t="s">
        <v>114</v>
      </c>
      <c r="J3" s="16" t="s">
        <v>108</v>
      </c>
    </row>
    <row r="4" customFormat="false" ht="23.85" hidden="false" customHeight="false" outlineLevel="0" collapsed="false">
      <c r="A4" s="16" t="s">
        <v>82</v>
      </c>
      <c r="B4" s="16" t="s">
        <v>49</v>
      </c>
      <c r="C4" s="16" t="s">
        <v>109</v>
      </c>
      <c r="D4" s="16" t="s">
        <v>110</v>
      </c>
      <c r="E4" s="16" t="s">
        <v>103</v>
      </c>
      <c r="F4" s="16" t="s">
        <v>111</v>
      </c>
      <c r="G4" s="16" t="s">
        <v>115</v>
      </c>
      <c r="H4" s="16" t="s">
        <v>116</v>
      </c>
      <c r="I4" s="16" t="s">
        <v>114</v>
      </c>
      <c r="J4" s="16" t="s">
        <v>108</v>
      </c>
    </row>
    <row r="5" customFormat="false" ht="15" hidden="false" customHeight="false" outlineLevel="0" collapsed="false">
      <c r="A5" s="16" t="s">
        <v>83</v>
      </c>
      <c r="B5" s="16" t="s">
        <v>48</v>
      </c>
      <c r="C5" s="16" t="s">
        <v>117</v>
      </c>
      <c r="D5" s="16" t="s">
        <v>110</v>
      </c>
      <c r="E5" s="16" t="s">
        <v>103</v>
      </c>
      <c r="F5" s="16" t="s">
        <v>118</v>
      </c>
      <c r="G5" s="16" t="s">
        <v>119</v>
      </c>
      <c r="H5" s="16" t="s">
        <v>120</v>
      </c>
      <c r="I5" s="16" t="s">
        <v>121</v>
      </c>
      <c r="J5" s="16" t="s">
        <v>108</v>
      </c>
    </row>
    <row r="6" customFormat="false" ht="23.85" hidden="false" customHeight="false" outlineLevel="0" collapsed="false">
      <c r="A6" s="16" t="s">
        <v>84</v>
      </c>
      <c r="B6" s="16" t="s">
        <v>49</v>
      </c>
      <c r="C6" s="16" t="s">
        <v>122</v>
      </c>
      <c r="D6" s="16" t="s">
        <v>123</v>
      </c>
      <c r="E6" s="16" t="s">
        <v>103</v>
      </c>
      <c r="F6" s="16" t="s">
        <v>104</v>
      </c>
      <c r="G6" s="16" t="s">
        <v>124</v>
      </c>
      <c r="H6" s="16" t="s">
        <v>125</v>
      </c>
      <c r="I6" s="16" t="s">
        <v>126</v>
      </c>
      <c r="J6" s="16" t="s">
        <v>108</v>
      </c>
    </row>
    <row r="7" customFormat="false" ht="23.85" hidden="false" customHeight="false" outlineLevel="0" collapsed="false">
      <c r="A7" s="16" t="s">
        <v>85</v>
      </c>
      <c r="B7" s="16" t="s">
        <v>49</v>
      </c>
      <c r="C7" s="16" t="s">
        <v>127</v>
      </c>
      <c r="D7" s="16" t="s">
        <v>102</v>
      </c>
      <c r="E7" s="16" t="s">
        <v>103</v>
      </c>
      <c r="F7" s="16" t="s">
        <v>128</v>
      </c>
      <c r="G7" s="16" t="s">
        <v>129</v>
      </c>
      <c r="H7" s="16" t="s">
        <v>130</v>
      </c>
      <c r="I7" s="16" t="s">
        <v>131</v>
      </c>
      <c r="J7" s="16" t="s">
        <v>108</v>
      </c>
    </row>
    <row r="8" customFormat="false" ht="35.05" hidden="false" customHeight="false" outlineLevel="0" collapsed="false">
      <c r="A8" s="16" t="s">
        <v>86</v>
      </c>
      <c r="B8" s="16" t="s">
        <v>49</v>
      </c>
      <c r="C8" s="16" t="s">
        <v>132</v>
      </c>
      <c r="D8" s="16" t="s">
        <v>110</v>
      </c>
      <c r="E8" s="16" t="s">
        <v>103</v>
      </c>
      <c r="F8" s="16" t="s">
        <v>133</v>
      </c>
      <c r="G8" s="16" t="s">
        <v>134</v>
      </c>
      <c r="H8" s="16" t="s">
        <v>135</v>
      </c>
      <c r="I8" s="16" t="s">
        <v>136</v>
      </c>
      <c r="J8" s="16" t="s">
        <v>108</v>
      </c>
    </row>
    <row r="9" customFormat="false" ht="35.05" hidden="false" customHeight="false" outlineLevel="0" collapsed="false">
      <c r="A9" s="16" t="s">
        <v>86</v>
      </c>
      <c r="B9" s="16" t="s">
        <v>49</v>
      </c>
      <c r="C9" s="16" t="s">
        <v>137</v>
      </c>
      <c r="D9" s="16" t="s">
        <v>123</v>
      </c>
      <c r="E9" s="16" t="s">
        <v>103</v>
      </c>
      <c r="F9" s="16" t="s">
        <v>138</v>
      </c>
      <c r="G9" s="16" t="s">
        <v>134</v>
      </c>
      <c r="H9" s="16" t="s">
        <v>139</v>
      </c>
      <c r="I9" s="16" t="s">
        <v>136</v>
      </c>
      <c r="J9" s="16" t="s">
        <v>108</v>
      </c>
    </row>
    <row r="10" customFormat="false" ht="23.85" hidden="false" customHeight="false" outlineLevel="0" collapsed="false">
      <c r="A10" s="16" t="s">
        <v>69</v>
      </c>
      <c r="B10" s="16" t="s">
        <v>49</v>
      </c>
      <c r="C10" s="16" t="s">
        <v>140</v>
      </c>
      <c r="D10" s="16" t="s">
        <v>110</v>
      </c>
      <c r="E10" s="16" t="s">
        <v>141</v>
      </c>
      <c r="F10" s="16" t="s">
        <v>142</v>
      </c>
      <c r="G10" s="16" t="s">
        <v>143</v>
      </c>
      <c r="H10" s="16" t="s">
        <v>144</v>
      </c>
      <c r="I10" s="16" t="s">
        <v>145</v>
      </c>
      <c r="J10" s="16" t="s">
        <v>108</v>
      </c>
    </row>
    <row r="11" customFormat="false" ht="23.85" hidden="false" customHeight="false" outlineLevel="0" collapsed="false">
      <c r="A11" s="16" t="s">
        <v>70</v>
      </c>
      <c r="B11" s="16" t="s">
        <v>48</v>
      </c>
      <c r="C11" s="16" t="s">
        <v>146</v>
      </c>
      <c r="D11" s="16" t="s">
        <v>110</v>
      </c>
      <c r="E11" s="16" t="s">
        <v>141</v>
      </c>
      <c r="F11" s="16" t="s">
        <v>142</v>
      </c>
      <c r="G11" s="16" t="s">
        <v>147</v>
      </c>
      <c r="H11" s="16" t="s">
        <v>148</v>
      </c>
      <c r="I11" s="16" t="s">
        <v>149</v>
      </c>
      <c r="J11" s="16" t="s">
        <v>108</v>
      </c>
    </row>
    <row r="12" customFormat="false" ht="23.85" hidden="false" customHeight="false" outlineLevel="0" collapsed="false">
      <c r="A12" s="16" t="s">
        <v>71</v>
      </c>
      <c r="B12" s="16" t="s">
        <v>48</v>
      </c>
      <c r="C12" s="16" t="s">
        <v>150</v>
      </c>
      <c r="D12" s="16" t="s">
        <v>102</v>
      </c>
      <c r="E12" s="16" t="s">
        <v>141</v>
      </c>
      <c r="F12" s="16" t="s">
        <v>142</v>
      </c>
      <c r="G12" s="16" t="s">
        <v>151</v>
      </c>
      <c r="H12" s="16" t="s">
        <v>152</v>
      </c>
      <c r="I12" s="16" t="s">
        <v>153</v>
      </c>
      <c r="J12" s="16" t="s">
        <v>108</v>
      </c>
    </row>
    <row r="13" customFormat="false" ht="23.85" hidden="false" customHeight="false" outlineLevel="0" collapsed="false">
      <c r="A13" s="16" t="s">
        <v>73</v>
      </c>
      <c r="B13" s="16" t="s">
        <v>49</v>
      </c>
      <c r="C13" s="16" t="s">
        <v>154</v>
      </c>
      <c r="D13" s="16" t="s">
        <v>110</v>
      </c>
      <c r="E13" s="16" t="s">
        <v>141</v>
      </c>
      <c r="F13" s="16" t="s">
        <v>142</v>
      </c>
      <c r="G13" s="16" t="s">
        <v>155</v>
      </c>
      <c r="H13" s="16" t="s">
        <v>156</v>
      </c>
      <c r="I13" s="16" t="s">
        <v>157</v>
      </c>
      <c r="J13" s="16" t="s">
        <v>108</v>
      </c>
    </row>
    <row r="14" customFormat="false" ht="23.85" hidden="false" customHeight="false" outlineLevel="0" collapsed="false">
      <c r="A14" s="16" t="s">
        <v>74</v>
      </c>
      <c r="B14" s="16" t="s">
        <v>49</v>
      </c>
      <c r="C14" s="16" t="s">
        <v>137</v>
      </c>
      <c r="D14" s="16" t="s">
        <v>123</v>
      </c>
      <c r="E14" s="16" t="s">
        <v>141</v>
      </c>
      <c r="F14" s="16" t="s">
        <v>142</v>
      </c>
      <c r="G14" s="16" t="s">
        <v>158</v>
      </c>
      <c r="H14" s="16" t="s">
        <v>159</v>
      </c>
      <c r="I14" s="16" t="s">
        <v>160</v>
      </c>
      <c r="J14" s="16" t="s">
        <v>108</v>
      </c>
    </row>
    <row r="15" customFormat="false" ht="23.85" hidden="false" customHeight="false" outlineLevel="0" collapsed="false">
      <c r="A15" s="16" t="s">
        <v>161</v>
      </c>
      <c r="B15" s="16" t="s">
        <v>162</v>
      </c>
      <c r="C15" s="16" t="s">
        <v>163</v>
      </c>
      <c r="D15" s="16" t="s">
        <v>102</v>
      </c>
      <c r="E15" s="16" t="s">
        <v>103</v>
      </c>
      <c r="F15" s="16" t="s">
        <v>164</v>
      </c>
      <c r="G15" s="16" t="s">
        <v>165</v>
      </c>
      <c r="H15" s="16" t="s">
        <v>166</v>
      </c>
      <c r="I15" s="16" t="s">
        <v>167</v>
      </c>
      <c r="J15" s="16" t="s">
        <v>168</v>
      </c>
    </row>
    <row r="16" customFormat="false" ht="23.85" hidden="false" customHeight="false" outlineLevel="0" collapsed="false">
      <c r="A16" s="16" t="s">
        <v>75</v>
      </c>
      <c r="B16" s="16" t="s">
        <v>48</v>
      </c>
      <c r="C16" s="16" t="s">
        <v>127</v>
      </c>
      <c r="D16" s="16" t="s">
        <v>102</v>
      </c>
      <c r="E16" s="16" t="s">
        <v>169</v>
      </c>
      <c r="F16" s="16" t="s">
        <v>170</v>
      </c>
      <c r="G16" s="16" t="s">
        <v>171</v>
      </c>
      <c r="H16" s="16" t="s">
        <v>172</v>
      </c>
      <c r="I16" s="16" t="s">
        <v>173</v>
      </c>
      <c r="J16" s="16" t="s">
        <v>108</v>
      </c>
    </row>
    <row r="17" customFormat="false" ht="23.85" hidden="false" customHeight="false" outlineLevel="0" collapsed="false">
      <c r="A17" s="16" t="s">
        <v>75</v>
      </c>
      <c r="B17" s="16" t="s">
        <v>48</v>
      </c>
      <c r="C17" s="16" t="s">
        <v>132</v>
      </c>
      <c r="D17" s="16" t="s">
        <v>110</v>
      </c>
      <c r="E17" s="16" t="s">
        <v>169</v>
      </c>
      <c r="F17" s="16" t="s">
        <v>174</v>
      </c>
      <c r="G17" s="16" t="s">
        <v>171</v>
      </c>
      <c r="H17" s="16" t="s">
        <v>175</v>
      </c>
      <c r="I17" s="16" t="s">
        <v>176</v>
      </c>
      <c r="J17" s="16" t="s">
        <v>108</v>
      </c>
    </row>
    <row r="18" customFormat="false" ht="23.85" hidden="false" customHeight="false" outlineLevel="0" collapsed="false">
      <c r="A18" s="16" t="s">
        <v>76</v>
      </c>
      <c r="B18" s="16" t="s">
        <v>48</v>
      </c>
      <c r="C18" s="16" t="s">
        <v>122</v>
      </c>
      <c r="D18" s="16" t="s">
        <v>123</v>
      </c>
      <c r="E18" s="16" t="s">
        <v>169</v>
      </c>
      <c r="F18" s="16" t="s">
        <v>177</v>
      </c>
      <c r="G18" s="16" t="s">
        <v>178</v>
      </c>
      <c r="H18" s="16" t="s">
        <v>179</v>
      </c>
      <c r="I18" s="16" t="s">
        <v>180</v>
      </c>
      <c r="J18" s="16" t="s">
        <v>108</v>
      </c>
    </row>
    <row r="19" customFormat="false" ht="23.85" hidden="false" customHeight="false" outlineLevel="0" collapsed="false">
      <c r="A19" s="16" t="s">
        <v>77</v>
      </c>
      <c r="B19" s="16" t="s">
        <v>48</v>
      </c>
      <c r="C19" s="16" t="s">
        <v>181</v>
      </c>
      <c r="D19" s="16" t="s">
        <v>110</v>
      </c>
      <c r="E19" s="16" t="s">
        <v>169</v>
      </c>
      <c r="F19" s="16" t="s">
        <v>182</v>
      </c>
      <c r="G19" s="16" t="s">
        <v>183</v>
      </c>
      <c r="H19" s="16" t="s">
        <v>184</v>
      </c>
      <c r="I19" s="16" t="s">
        <v>185</v>
      </c>
      <c r="J19" s="16" t="s">
        <v>108</v>
      </c>
    </row>
    <row r="20" customFormat="false" ht="23.85" hidden="false" customHeight="false" outlineLevel="0" collapsed="false">
      <c r="A20" s="16" t="s">
        <v>78</v>
      </c>
      <c r="B20" s="16" t="s">
        <v>49</v>
      </c>
      <c r="C20" s="16" t="s">
        <v>163</v>
      </c>
      <c r="D20" s="16" t="s">
        <v>102</v>
      </c>
      <c r="E20" s="16" t="s">
        <v>169</v>
      </c>
      <c r="F20" s="16" t="s">
        <v>186</v>
      </c>
      <c r="G20" s="16" t="s">
        <v>187</v>
      </c>
      <c r="H20" s="16" t="s">
        <v>188</v>
      </c>
      <c r="I20" s="16" t="s">
        <v>189</v>
      </c>
      <c r="J20" s="16" t="s">
        <v>108</v>
      </c>
    </row>
    <row r="21" customFormat="false" ht="23.85" hidden="false" customHeight="false" outlineLevel="0" collapsed="false">
      <c r="A21" s="16" t="s">
        <v>78</v>
      </c>
      <c r="B21" s="16" t="s">
        <v>49</v>
      </c>
      <c r="C21" s="16" t="s">
        <v>190</v>
      </c>
      <c r="D21" s="16" t="s">
        <v>123</v>
      </c>
      <c r="E21" s="16" t="s">
        <v>169</v>
      </c>
      <c r="F21" s="16" t="s">
        <v>191</v>
      </c>
      <c r="G21" s="16" t="s">
        <v>187</v>
      </c>
      <c r="H21" s="16" t="s">
        <v>192</v>
      </c>
      <c r="I21" s="16" t="s">
        <v>193</v>
      </c>
      <c r="J21" s="16" t="s">
        <v>108</v>
      </c>
    </row>
    <row r="22" customFormat="false" ht="35.05" hidden="false" customHeight="false" outlineLevel="0" collapsed="false">
      <c r="A22" s="16" t="s">
        <v>79</v>
      </c>
      <c r="B22" s="16" t="s">
        <v>49</v>
      </c>
      <c r="C22" s="16" t="s">
        <v>194</v>
      </c>
      <c r="D22" s="16" t="s">
        <v>102</v>
      </c>
      <c r="E22" s="16" t="s">
        <v>169</v>
      </c>
      <c r="F22" s="16" t="s">
        <v>195</v>
      </c>
      <c r="G22" s="16" t="s">
        <v>196</v>
      </c>
      <c r="H22" s="16" t="s">
        <v>197</v>
      </c>
      <c r="I22" s="16" t="s">
        <v>198</v>
      </c>
      <c r="J22" s="16" t="s">
        <v>108</v>
      </c>
    </row>
    <row r="23" customFormat="false" ht="23.85" hidden="false" customHeight="false" outlineLevel="0" collapsed="false">
      <c r="A23" s="16" t="s">
        <v>79</v>
      </c>
      <c r="B23" s="16" t="s">
        <v>49</v>
      </c>
      <c r="C23" s="16" t="s">
        <v>181</v>
      </c>
      <c r="D23" s="16" t="s">
        <v>110</v>
      </c>
      <c r="E23" s="16" t="s">
        <v>169</v>
      </c>
      <c r="F23" s="16" t="s">
        <v>199</v>
      </c>
      <c r="G23" s="16" t="s">
        <v>196</v>
      </c>
      <c r="H23" s="16" t="s">
        <v>200</v>
      </c>
      <c r="I23" s="16" t="s">
        <v>201</v>
      </c>
      <c r="J23" s="16" t="s">
        <v>108</v>
      </c>
    </row>
    <row r="24" customFormat="false" ht="35.05" hidden="false" customHeight="false" outlineLevel="0" collapsed="false">
      <c r="A24" s="16" t="s">
        <v>80</v>
      </c>
      <c r="B24" s="16" t="s">
        <v>49</v>
      </c>
      <c r="C24" s="16" t="s">
        <v>202</v>
      </c>
      <c r="D24" s="16" t="s">
        <v>102</v>
      </c>
      <c r="E24" s="16" t="s">
        <v>169</v>
      </c>
      <c r="F24" s="16" t="s">
        <v>203</v>
      </c>
      <c r="G24" s="16" t="s">
        <v>204</v>
      </c>
      <c r="H24" s="16" t="s">
        <v>205</v>
      </c>
      <c r="I24" s="16" t="s">
        <v>206</v>
      </c>
      <c r="J24" s="16" t="s">
        <v>207</v>
      </c>
    </row>
    <row r="25" customFormat="false" ht="35.05" hidden="false" customHeight="false" outlineLevel="0" collapsed="false">
      <c r="A25" s="16" t="s">
        <v>80</v>
      </c>
      <c r="B25" s="16" t="s">
        <v>49</v>
      </c>
      <c r="C25" s="16" t="s">
        <v>208</v>
      </c>
      <c r="D25" s="16" t="s">
        <v>123</v>
      </c>
      <c r="E25" s="16" t="s">
        <v>169</v>
      </c>
      <c r="F25" s="16" t="s">
        <v>203</v>
      </c>
      <c r="G25" s="16" t="s">
        <v>204</v>
      </c>
      <c r="H25" s="16" t="s">
        <v>209</v>
      </c>
      <c r="I25" s="16" t="s">
        <v>210</v>
      </c>
      <c r="J25" s="16" t="s">
        <v>207</v>
      </c>
    </row>
    <row r="26" customFormat="false" ht="23.85" hidden="false" customHeight="false" outlineLevel="0" collapsed="false">
      <c r="A26" s="16" t="s">
        <v>80</v>
      </c>
      <c r="B26" s="16" t="s">
        <v>49</v>
      </c>
      <c r="C26" s="16" t="s">
        <v>211</v>
      </c>
      <c r="D26" s="16" t="s">
        <v>123</v>
      </c>
      <c r="E26" s="16" t="s">
        <v>169</v>
      </c>
      <c r="F26" s="16" t="s">
        <v>203</v>
      </c>
      <c r="G26" s="16" t="s">
        <v>204</v>
      </c>
      <c r="H26" s="16" t="s">
        <v>212</v>
      </c>
      <c r="I26" s="16" t="s">
        <v>213</v>
      </c>
      <c r="J26" s="16" t="s">
        <v>108</v>
      </c>
    </row>
  </sheetData>
  <autoFilter ref="A1:J2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7"/>
    <col collapsed="false" customWidth="true" hidden="false" outlineLevel="0" max="3" min="3" style="0" width="11"/>
    <col collapsed="false" customWidth="true" hidden="false" outlineLevel="0" max="4" min="4" style="0" width="6"/>
    <col collapsed="false" customWidth="true" hidden="false" outlineLevel="0" max="5" min="5" style="0" width="26"/>
    <col collapsed="false" customWidth="true" hidden="false" outlineLevel="0" max="6" min="6" style="0" width="16"/>
    <col collapsed="false" customWidth="true" hidden="false" outlineLevel="0" max="8" min="7" style="0" width="10"/>
    <col collapsed="false" customWidth="true" hidden="false" outlineLevel="0" max="9" min="9" style="0" width="60"/>
    <col collapsed="false" customWidth="true" hidden="false" outlineLevel="0" max="10" min="10" style="0" width="12"/>
    <col collapsed="false" customWidth="true" hidden="false" outlineLevel="0" max="11" min="11" style="0" width="60"/>
    <col collapsed="false" customWidth="true" hidden="false" outlineLevel="0" max="12" min="12" style="0" width="12"/>
    <col collapsed="false" customWidth="true" hidden="false" outlineLevel="0" max="13" min="13" style="0" width="9"/>
    <col collapsed="false" customWidth="true" hidden="false" outlineLevel="0" max="14" min="14" style="0" width="52"/>
    <col collapsed="false" customWidth="true" hidden="false" outlineLevel="0" max="15" min="15" style="0" width="12"/>
    <col collapsed="false" customWidth="true" hidden="false" outlineLevel="0" max="16" min="16" style="0" width="8"/>
    <col collapsed="false" customWidth="true" hidden="false" outlineLevel="0" max="17" min="17" style="0" width="15"/>
    <col collapsed="false" customWidth="true" hidden="false" outlineLevel="0" max="19" min="18" style="0" width="11"/>
  </cols>
  <sheetData>
    <row r="1" customFormat="false" ht="27.75" hidden="false" customHeight="true" outlineLevel="0" collapsed="false">
      <c r="A1" s="7" t="s">
        <v>214</v>
      </c>
      <c r="B1" s="7" t="s">
        <v>95</v>
      </c>
      <c r="C1" s="7" t="s">
        <v>94</v>
      </c>
      <c r="D1" s="7" t="s">
        <v>43</v>
      </c>
      <c r="E1" s="7" t="s">
        <v>96</v>
      </c>
      <c r="F1" s="7" t="s">
        <v>97</v>
      </c>
      <c r="G1" s="7" t="s">
        <v>215</v>
      </c>
      <c r="H1" s="7" t="s">
        <v>93</v>
      </c>
      <c r="I1" s="7" t="s">
        <v>99</v>
      </c>
      <c r="J1" s="7" t="s">
        <v>216</v>
      </c>
      <c r="K1" s="7" t="s">
        <v>217</v>
      </c>
      <c r="L1" s="7" t="s">
        <v>218</v>
      </c>
      <c r="M1" s="7" t="s">
        <v>219</v>
      </c>
      <c r="N1" s="7" t="s">
        <v>220</v>
      </c>
      <c r="O1" s="7" t="s">
        <v>221</v>
      </c>
      <c r="P1" s="7" t="s">
        <v>222</v>
      </c>
      <c r="Q1" s="7" t="s">
        <v>37</v>
      </c>
      <c r="R1" s="7" t="s">
        <v>223</v>
      </c>
      <c r="S1" s="7" t="s">
        <v>224</v>
      </c>
    </row>
    <row r="2" customFormat="false" ht="23.85" hidden="false" customHeight="false" outlineLevel="0" collapsed="false">
      <c r="A2" s="16" t="s">
        <v>225</v>
      </c>
      <c r="B2" s="16" t="s">
        <v>102</v>
      </c>
      <c r="C2" s="16" t="s">
        <v>150</v>
      </c>
      <c r="D2" s="16" t="s">
        <v>141</v>
      </c>
      <c r="E2" s="16" t="s">
        <v>142</v>
      </c>
      <c r="F2" s="16" t="s">
        <v>226</v>
      </c>
      <c r="G2" s="16" t="s">
        <v>71</v>
      </c>
      <c r="H2" s="16" t="s">
        <v>48</v>
      </c>
      <c r="I2" s="16" t="s">
        <v>153</v>
      </c>
      <c r="J2" s="17" t="n">
        <v>46048</v>
      </c>
      <c r="K2" s="16" t="s">
        <v>227</v>
      </c>
      <c r="L2" s="17" t="n">
        <v>46051</v>
      </c>
      <c r="M2" s="16" t="s">
        <v>228</v>
      </c>
      <c r="N2" s="16" t="s">
        <v>229</v>
      </c>
      <c r="O2" s="17" t="n">
        <v>46053</v>
      </c>
      <c r="P2" s="16" t="s">
        <v>230</v>
      </c>
      <c r="Q2" s="16" t="s">
        <v>40</v>
      </c>
      <c r="R2" s="11" t="n">
        <f aca="false">L2-J2</f>
        <v>3</v>
      </c>
      <c r="S2" s="11" t="n">
        <f aca="false">O2-J2</f>
        <v>5</v>
      </c>
    </row>
    <row r="3" customFormat="false" ht="23.85" hidden="false" customHeight="false" outlineLevel="0" collapsed="false">
      <c r="A3" s="16" t="s">
        <v>231</v>
      </c>
      <c r="B3" s="16" t="s">
        <v>123</v>
      </c>
      <c r="C3" s="16" t="s">
        <v>146</v>
      </c>
      <c r="D3" s="16" t="s">
        <v>141</v>
      </c>
      <c r="E3" s="16" t="s">
        <v>142</v>
      </c>
      <c r="F3" s="16" t="s">
        <v>95</v>
      </c>
      <c r="G3" s="16" t="s">
        <v>70</v>
      </c>
      <c r="H3" s="16" t="s">
        <v>48</v>
      </c>
      <c r="I3" s="16" t="s">
        <v>149</v>
      </c>
      <c r="J3" s="17" t="n">
        <v>46055</v>
      </c>
      <c r="K3" s="16" t="s">
        <v>232</v>
      </c>
      <c r="L3" s="17" t="n">
        <v>46060</v>
      </c>
      <c r="M3" s="16" t="s">
        <v>228</v>
      </c>
      <c r="N3" s="16" t="s">
        <v>233</v>
      </c>
      <c r="O3" s="17" t="n">
        <v>46061</v>
      </c>
      <c r="P3" s="16" t="s">
        <v>230</v>
      </c>
      <c r="Q3" s="16" t="s">
        <v>40</v>
      </c>
      <c r="R3" s="11" t="n">
        <f aca="false">L3-J3</f>
        <v>5</v>
      </c>
      <c r="S3" s="11" t="n">
        <f aca="false">O3-J3</f>
        <v>6</v>
      </c>
    </row>
    <row r="4" customFormat="false" ht="23.85" hidden="false" customHeight="false" outlineLevel="0" collapsed="false">
      <c r="A4" s="16" t="s">
        <v>234</v>
      </c>
      <c r="B4" s="16" t="s">
        <v>123</v>
      </c>
      <c r="C4" s="16" t="s">
        <v>122</v>
      </c>
      <c r="D4" s="16" t="s">
        <v>103</v>
      </c>
      <c r="E4" s="16" t="s">
        <v>104</v>
      </c>
      <c r="F4" s="16" t="s">
        <v>235</v>
      </c>
      <c r="G4" s="16" t="s">
        <v>84</v>
      </c>
      <c r="H4" s="16" t="s">
        <v>49</v>
      </c>
      <c r="I4" s="16" t="s">
        <v>126</v>
      </c>
      <c r="J4" s="17" t="n">
        <v>46062</v>
      </c>
      <c r="K4" s="16" t="s">
        <v>236</v>
      </c>
      <c r="L4" s="17" t="n">
        <v>46071</v>
      </c>
      <c r="M4" s="16" t="s">
        <v>228</v>
      </c>
      <c r="N4" s="16" t="s">
        <v>237</v>
      </c>
      <c r="O4" s="17" t="n">
        <v>46073</v>
      </c>
      <c r="P4" s="16" t="s">
        <v>230</v>
      </c>
      <c r="Q4" s="16" t="s">
        <v>40</v>
      </c>
      <c r="R4" s="11" t="n">
        <f aca="false">L4-J4</f>
        <v>9</v>
      </c>
      <c r="S4" s="11" t="n">
        <f aca="false">O4-J4</f>
        <v>11</v>
      </c>
    </row>
    <row r="5" customFormat="false" ht="23.85" hidden="false" customHeight="false" outlineLevel="0" collapsed="false">
      <c r="A5" s="16" t="s">
        <v>238</v>
      </c>
      <c r="B5" s="16" t="s">
        <v>110</v>
      </c>
      <c r="C5" s="16" t="s">
        <v>140</v>
      </c>
      <c r="D5" s="16" t="s">
        <v>141</v>
      </c>
      <c r="E5" s="16" t="s">
        <v>142</v>
      </c>
      <c r="F5" s="16" t="s">
        <v>239</v>
      </c>
      <c r="G5" s="16" t="s">
        <v>69</v>
      </c>
      <c r="H5" s="16" t="s">
        <v>49</v>
      </c>
      <c r="I5" s="16" t="s">
        <v>145</v>
      </c>
      <c r="J5" s="17" t="n">
        <v>46069</v>
      </c>
      <c r="K5" s="16" t="s">
        <v>240</v>
      </c>
      <c r="L5" s="17" t="n">
        <v>46075</v>
      </c>
      <c r="M5" s="16" t="s">
        <v>228</v>
      </c>
      <c r="N5" s="16" t="s">
        <v>241</v>
      </c>
      <c r="O5" s="17" t="n">
        <v>46077</v>
      </c>
      <c r="P5" s="16" t="s">
        <v>230</v>
      </c>
      <c r="Q5" s="16" t="s">
        <v>40</v>
      </c>
      <c r="R5" s="11" t="n">
        <f aca="false">L5-J5</f>
        <v>6</v>
      </c>
      <c r="S5" s="11" t="n">
        <f aca="false">O5-J5</f>
        <v>8</v>
      </c>
    </row>
    <row r="6" customFormat="false" ht="35.05" hidden="false" customHeight="false" outlineLevel="0" collapsed="false">
      <c r="A6" s="16" t="s">
        <v>242</v>
      </c>
      <c r="B6" s="16" t="s">
        <v>110</v>
      </c>
      <c r="C6" s="16" t="s">
        <v>154</v>
      </c>
      <c r="D6" s="16" t="s">
        <v>141</v>
      </c>
      <c r="E6" s="16" t="s">
        <v>142</v>
      </c>
      <c r="F6" s="16" t="s">
        <v>243</v>
      </c>
      <c r="G6" s="16" t="s">
        <v>73</v>
      </c>
      <c r="H6" s="16" t="s">
        <v>49</v>
      </c>
      <c r="I6" s="16" t="s">
        <v>157</v>
      </c>
      <c r="J6" s="17" t="n">
        <v>46104</v>
      </c>
      <c r="K6" s="16" t="s">
        <v>244</v>
      </c>
      <c r="L6" s="17" t="n">
        <v>46110</v>
      </c>
      <c r="M6" s="16" t="s">
        <v>228</v>
      </c>
      <c r="N6" s="16" t="s">
        <v>245</v>
      </c>
      <c r="O6" s="17" t="n">
        <v>46111</v>
      </c>
      <c r="P6" s="16" t="s">
        <v>230</v>
      </c>
      <c r="Q6" s="16" t="s">
        <v>41</v>
      </c>
      <c r="R6" s="11" t="n">
        <f aca="false">L6-J6</f>
        <v>6</v>
      </c>
      <c r="S6" s="11" t="n">
        <f aca="false">O6-J6</f>
        <v>7</v>
      </c>
    </row>
    <row r="7" customFormat="false" ht="35.05" hidden="false" customHeight="false" outlineLevel="0" collapsed="false">
      <c r="A7" s="16" t="s">
        <v>246</v>
      </c>
      <c r="B7" s="16" t="s">
        <v>102</v>
      </c>
      <c r="C7" s="16" t="s">
        <v>127</v>
      </c>
      <c r="D7" s="16" t="s">
        <v>103</v>
      </c>
      <c r="E7" s="16" t="s">
        <v>128</v>
      </c>
      <c r="F7" s="16" t="s">
        <v>247</v>
      </c>
      <c r="G7" s="16" t="s">
        <v>85</v>
      </c>
      <c r="H7" s="16" t="s">
        <v>49</v>
      </c>
      <c r="I7" s="16" t="s">
        <v>131</v>
      </c>
      <c r="J7" s="17" t="n">
        <v>46111</v>
      </c>
      <c r="K7" s="16" t="s">
        <v>248</v>
      </c>
      <c r="L7" s="17" t="n">
        <v>46115</v>
      </c>
      <c r="M7" s="16" t="s">
        <v>228</v>
      </c>
      <c r="N7" s="16" t="s">
        <v>229</v>
      </c>
      <c r="O7" s="17" t="n">
        <v>46116</v>
      </c>
      <c r="P7" s="16" t="s">
        <v>230</v>
      </c>
      <c r="Q7" s="16" t="s">
        <v>40</v>
      </c>
      <c r="R7" s="11" t="n">
        <f aca="false">L7-J7</f>
        <v>4</v>
      </c>
      <c r="S7" s="11" t="n">
        <f aca="false">O7-J7</f>
        <v>5</v>
      </c>
    </row>
    <row r="8" customFormat="false" ht="35.05" hidden="false" customHeight="false" outlineLevel="0" collapsed="false">
      <c r="A8" s="16" t="s">
        <v>249</v>
      </c>
      <c r="B8" s="16" t="s">
        <v>123</v>
      </c>
      <c r="C8" s="16" t="s">
        <v>137</v>
      </c>
      <c r="D8" s="16" t="s">
        <v>141</v>
      </c>
      <c r="E8" s="16" t="s">
        <v>142</v>
      </c>
      <c r="F8" s="16" t="s">
        <v>250</v>
      </c>
      <c r="G8" s="16" t="s">
        <v>74</v>
      </c>
      <c r="H8" s="16" t="s">
        <v>49</v>
      </c>
      <c r="I8" s="16" t="s">
        <v>160</v>
      </c>
      <c r="J8" s="17" t="n">
        <v>46111</v>
      </c>
      <c r="K8" s="16" t="s">
        <v>251</v>
      </c>
      <c r="L8" s="17" t="n">
        <v>46116</v>
      </c>
      <c r="M8" s="16" t="s">
        <v>228</v>
      </c>
      <c r="N8" s="16" t="s">
        <v>252</v>
      </c>
      <c r="O8" s="17" t="n">
        <v>46117</v>
      </c>
      <c r="P8" s="16" t="s">
        <v>230</v>
      </c>
      <c r="Q8" s="16" t="s">
        <v>40</v>
      </c>
      <c r="R8" s="11" t="n">
        <f aca="false">L8-J8</f>
        <v>5</v>
      </c>
      <c r="S8" s="11" t="n">
        <f aca="false">O8-J8</f>
        <v>6</v>
      </c>
    </row>
    <row r="9" customFormat="false" ht="23.85" hidden="false" customHeight="false" outlineLevel="0" collapsed="false">
      <c r="A9" s="16" t="s">
        <v>253</v>
      </c>
      <c r="B9" s="16" t="s">
        <v>123</v>
      </c>
      <c r="C9" s="16" t="s">
        <v>122</v>
      </c>
      <c r="D9" s="16" t="s">
        <v>169</v>
      </c>
      <c r="E9" s="16" t="s">
        <v>177</v>
      </c>
      <c r="F9" s="16" t="s">
        <v>235</v>
      </c>
      <c r="G9" s="16" t="s">
        <v>76</v>
      </c>
      <c r="H9" s="16" t="s">
        <v>48</v>
      </c>
      <c r="I9" s="16" t="s">
        <v>180</v>
      </c>
      <c r="J9" s="17" t="n">
        <v>46125</v>
      </c>
      <c r="K9" s="16" t="s">
        <v>254</v>
      </c>
      <c r="L9" s="17" t="n">
        <v>46134</v>
      </c>
      <c r="M9" s="16" t="s">
        <v>228</v>
      </c>
      <c r="N9" s="16" t="s">
        <v>255</v>
      </c>
      <c r="O9" s="17" t="n">
        <v>46135</v>
      </c>
      <c r="P9" s="16" t="s">
        <v>230</v>
      </c>
      <c r="Q9" s="16" t="s">
        <v>40</v>
      </c>
      <c r="R9" s="11" t="n">
        <f aca="false">L9-J9</f>
        <v>9</v>
      </c>
      <c r="S9" s="11" t="n">
        <f aca="false">O9-J9</f>
        <v>10</v>
      </c>
    </row>
    <row r="10" customFormat="false" ht="35.05" hidden="false" customHeight="false" outlineLevel="0" collapsed="false">
      <c r="A10" s="16" t="s">
        <v>256</v>
      </c>
      <c r="B10" s="16" t="s">
        <v>123</v>
      </c>
      <c r="C10" s="16" t="s">
        <v>211</v>
      </c>
      <c r="D10" s="16" t="s">
        <v>169</v>
      </c>
      <c r="E10" s="16" t="s">
        <v>203</v>
      </c>
      <c r="F10" s="16" t="s">
        <v>204</v>
      </c>
      <c r="G10" s="16" t="s">
        <v>80</v>
      </c>
      <c r="H10" s="16" t="s">
        <v>49</v>
      </c>
      <c r="I10" s="16" t="s">
        <v>213</v>
      </c>
      <c r="J10" s="17" t="n">
        <v>46125</v>
      </c>
      <c r="K10" s="16" t="s">
        <v>257</v>
      </c>
      <c r="L10" s="17" t="n">
        <v>46130</v>
      </c>
      <c r="M10" s="16" t="s">
        <v>228</v>
      </c>
      <c r="N10" s="16" t="s">
        <v>258</v>
      </c>
      <c r="O10" s="17" t="n">
        <v>46134</v>
      </c>
      <c r="P10" s="16" t="s">
        <v>230</v>
      </c>
      <c r="Q10" s="16" t="s">
        <v>42</v>
      </c>
      <c r="R10" s="11" t="n">
        <f aca="false">L10-J10</f>
        <v>5</v>
      </c>
      <c r="S10" s="11" t="n">
        <f aca="false">O10-J10</f>
        <v>9</v>
      </c>
    </row>
    <row r="11" customFormat="false" ht="23.85" hidden="false" customHeight="false" outlineLevel="0" collapsed="false">
      <c r="A11" s="16" t="s">
        <v>259</v>
      </c>
      <c r="B11" s="16" t="s">
        <v>102</v>
      </c>
      <c r="C11" s="16" t="s">
        <v>101</v>
      </c>
      <c r="D11" s="16" t="s">
        <v>103</v>
      </c>
      <c r="E11" s="16" t="s">
        <v>104</v>
      </c>
      <c r="F11" s="16" t="s">
        <v>260</v>
      </c>
      <c r="G11" s="16" t="s">
        <v>81</v>
      </c>
      <c r="H11" s="16" t="s">
        <v>48</v>
      </c>
      <c r="I11" s="16" t="s">
        <v>107</v>
      </c>
      <c r="J11" s="17" t="n">
        <v>46139</v>
      </c>
      <c r="K11" s="16" t="s">
        <v>261</v>
      </c>
      <c r="L11" s="17" t="n">
        <v>46144</v>
      </c>
      <c r="M11" s="16" t="s">
        <v>228</v>
      </c>
      <c r="N11" s="16" t="s">
        <v>229</v>
      </c>
      <c r="O11" s="17" t="n">
        <v>46146</v>
      </c>
      <c r="P11" s="16" t="s">
        <v>230</v>
      </c>
      <c r="Q11" s="16" t="s">
        <v>40</v>
      </c>
      <c r="R11" s="11" t="n">
        <f aca="false">L11-J11</f>
        <v>5</v>
      </c>
      <c r="S11" s="11" t="n">
        <f aca="false">O11-J11</f>
        <v>7</v>
      </c>
    </row>
    <row r="12" customFormat="false" ht="68.65" hidden="false" customHeight="false" outlineLevel="0" collapsed="false">
      <c r="A12" s="16" t="s">
        <v>262</v>
      </c>
      <c r="B12" s="16" t="s">
        <v>110</v>
      </c>
      <c r="C12" s="16" t="s">
        <v>132</v>
      </c>
      <c r="D12" s="16" t="s">
        <v>169</v>
      </c>
      <c r="E12" s="16" t="s">
        <v>174</v>
      </c>
      <c r="F12" s="16" t="s">
        <v>171</v>
      </c>
      <c r="G12" s="16" t="s">
        <v>75</v>
      </c>
      <c r="H12" s="16" t="s">
        <v>48</v>
      </c>
      <c r="I12" s="16" t="s">
        <v>176</v>
      </c>
      <c r="J12" s="17" t="n">
        <v>46139</v>
      </c>
      <c r="K12" s="16" t="s">
        <v>263</v>
      </c>
      <c r="L12" s="17" t="n">
        <v>46152</v>
      </c>
      <c r="M12" s="16" t="s">
        <v>264</v>
      </c>
      <c r="N12" s="16" t="s">
        <v>265</v>
      </c>
      <c r="O12" s="17" t="n">
        <v>46154</v>
      </c>
      <c r="P12" s="16" t="s">
        <v>230</v>
      </c>
      <c r="Q12" s="16" t="s">
        <v>40</v>
      </c>
      <c r="R12" s="11" t="n">
        <f aca="false">L12-J12</f>
        <v>13</v>
      </c>
      <c r="S12" s="11" t="n">
        <f aca="false">O12-J12</f>
        <v>15</v>
      </c>
    </row>
    <row r="13" customFormat="false" ht="23.85" hidden="false" customHeight="false" outlineLevel="0" collapsed="false">
      <c r="A13" s="16" t="s">
        <v>266</v>
      </c>
      <c r="B13" s="16" t="s">
        <v>110</v>
      </c>
      <c r="C13" s="16" t="s">
        <v>109</v>
      </c>
      <c r="D13" s="16" t="s">
        <v>103</v>
      </c>
      <c r="E13" s="16" t="s">
        <v>111</v>
      </c>
      <c r="F13" s="16" t="s">
        <v>267</v>
      </c>
      <c r="G13" s="16" t="s">
        <v>82</v>
      </c>
      <c r="H13" s="16" t="s">
        <v>268</v>
      </c>
      <c r="I13" s="16" t="s">
        <v>114</v>
      </c>
      <c r="J13" s="17" t="n">
        <v>46188</v>
      </c>
      <c r="K13" s="16" t="s">
        <v>269</v>
      </c>
      <c r="L13" s="17" t="n">
        <v>46195</v>
      </c>
      <c r="M13" s="16" t="s">
        <v>228</v>
      </c>
      <c r="N13" s="16" t="s">
        <v>270</v>
      </c>
      <c r="O13" s="17" t="n">
        <v>46196</v>
      </c>
      <c r="P13" s="16" t="s">
        <v>230</v>
      </c>
      <c r="Q13" s="16" t="s">
        <v>40</v>
      </c>
      <c r="R13" s="11" t="n">
        <f aca="false">L13-J13</f>
        <v>7</v>
      </c>
      <c r="S13" s="11" t="n">
        <f aca="false">O13-J13</f>
        <v>8</v>
      </c>
    </row>
    <row r="14" customFormat="false" ht="46.25" hidden="false" customHeight="false" outlineLevel="0" collapsed="false">
      <c r="A14" s="16" t="s">
        <v>271</v>
      </c>
      <c r="B14" s="16" t="s">
        <v>110</v>
      </c>
      <c r="C14" s="16" t="s">
        <v>132</v>
      </c>
      <c r="D14" s="16" t="s">
        <v>103</v>
      </c>
      <c r="E14" s="16" t="s">
        <v>133</v>
      </c>
      <c r="F14" s="16" t="s">
        <v>134</v>
      </c>
      <c r="G14" s="16" t="s">
        <v>86</v>
      </c>
      <c r="H14" s="16" t="s">
        <v>49</v>
      </c>
      <c r="I14" s="16" t="s">
        <v>136</v>
      </c>
      <c r="J14" s="17" t="n">
        <v>46188</v>
      </c>
      <c r="K14" s="16" t="s">
        <v>272</v>
      </c>
      <c r="L14" s="17" t="n">
        <v>46191</v>
      </c>
      <c r="M14" s="16" t="s">
        <v>228</v>
      </c>
      <c r="N14" s="16" t="s">
        <v>273</v>
      </c>
      <c r="O14" s="17" t="n">
        <v>46193</v>
      </c>
      <c r="P14" s="16" t="s">
        <v>230</v>
      </c>
      <c r="Q14" s="16" t="s">
        <v>41</v>
      </c>
      <c r="R14" s="11" t="n">
        <f aca="false">L14-J14</f>
        <v>3</v>
      </c>
      <c r="S14" s="11" t="n">
        <f aca="false">O14-J14</f>
        <v>5</v>
      </c>
    </row>
    <row r="15" customFormat="false" ht="35.05" hidden="false" customHeight="false" outlineLevel="0" collapsed="false">
      <c r="A15" s="16" t="s">
        <v>274</v>
      </c>
      <c r="B15" s="16" t="s">
        <v>102</v>
      </c>
      <c r="C15" s="16" t="s">
        <v>194</v>
      </c>
      <c r="D15" s="16" t="s">
        <v>169</v>
      </c>
      <c r="E15" s="16" t="s">
        <v>195</v>
      </c>
      <c r="F15" s="16" t="s">
        <v>275</v>
      </c>
      <c r="G15" s="16" t="s">
        <v>79</v>
      </c>
      <c r="H15" s="16" t="s">
        <v>49</v>
      </c>
      <c r="I15" s="16" t="s">
        <v>198</v>
      </c>
      <c r="J15" s="17" t="n">
        <v>46195</v>
      </c>
      <c r="K15" s="16" t="s">
        <v>276</v>
      </c>
      <c r="L15" s="17" t="n">
        <v>46199</v>
      </c>
      <c r="M15" s="16" t="s">
        <v>228</v>
      </c>
      <c r="N15" s="16" t="s">
        <v>277</v>
      </c>
      <c r="O15" s="17" t="n">
        <v>46200</v>
      </c>
      <c r="P15" s="16" t="s">
        <v>230</v>
      </c>
      <c r="Q15" s="16" t="s">
        <v>40</v>
      </c>
      <c r="R15" s="11" t="n">
        <f aca="false">L15-J15</f>
        <v>4</v>
      </c>
      <c r="S15" s="11" t="n">
        <f aca="false">O15-J15</f>
        <v>5</v>
      </c>
    </row>
    <row r="16" customFormat="false" ht="46.25" hidden="false" customHeight="false" outlineLevel="0" collapsed="false">
      <c r="A16" s="16" t="s">
        <v>278</v>
      </c>
      <c r="B16" s="16" t="s">
        <v>123</v>
      </c>
      <c r="C16" s="16" t="s">
        <v>137</v>
      </c>
      <c r="D16" s="16" t="s">
        <v>103</v>
      </c>
      <c r="E16" s="16" t="s">
        <v>138</v>
      </c>
      <c r="F16" s="16" t="s">
        <v>235</v>
      </c>
      <c r="G16" s="16" t="s">
        <v>86</v>
      </c>
      <c r="H16" s="16" t="s">
        <v>49</v>
      </c>
      <c r="I16" s="16" t="s">
        <v>136</v>
      </c>
      <c r="J16" s="17" t="n">
        <v>46195</v>
      </c>
      <c r="K16" s="16" t="s">
        <v>279</v>
      </c>
      <c r="L16" s="17" t="n">
        <v>46201</v>
      </c>
      <c r="M16" s="16" t="s">
        <v>228</v>
      </c>
      <c r="N16" s="16" t="s">
        <v>280</v>
      </c>
      <c r="O16" s="17" t="n">
        <v>46202</v>
      </c>
      <c r="P16" s="16" t="s">
        <v>230</v>
      </c>
      <c r="Q16" s="16" t="s">
        <v>40</v>
      </c>
      <c r="R16" s="11" t="n">
        <f aca="false">L16-J16</f>
        <v>6</v>
      </c>
      <c r="S16" s="11" t="n">
        <f aca="false">O16-J16</f>
        <v>7</v>
      </c>
    </row>
    <row r="17" customFormat="false" ht="23.85" hidden="false" customHeight="false" outlineLevel="0" collapsed="false">
      <c r="A17" s="16" t="s">
        <v>281</v>
      </c>
      <c r="B17" s="16" t="s">
        <v>102</v>
      </c>
      <c r="C17" s="16" t="s">
        <v>127</v>
      </c>
      <c r="D17" s="16" t="s">
        <v>169</v>
      </c>
      <c r="E17" s="16" t="s">
        <v>170</v>
      </c>
      <c r="F17" s="16" t="s">
        <v>187</v>
      </c>
      <c r="G17" s="16" t="s">
        <v>75</v>
      </c>
      <c r="H17" s="16" t="s">
        <v>48</v>
      </c>
      <c r="I17" s="16" t="s">
        <v>173</v>
      </c>
      <c r="J17" s="17" t="n">
        <v>46209</v>
      </c>
      <c r="K17" s="16" t="s">
        <v>282</v>
      </c>
      <c r="L17" s="17" t="n">
        <v>46212</v>
      </c>
      <c r="M17" s="16" t="s">
        <v>228</v>
      </c>
      <c r="N17" s="16" t="s">
        <v>229</v>
      </c>
      <c r="O17" s="17" t="n">
        <v>46213</v>
      </c>
      <c r="P17" s="16" t="s">
        <v>230</v>
      </c>
      <c r="Q17" s="16" t="s">
        <v>40</v>
      </c>
      <c r="R17" s="11" t="n">
        <f aca="false">L17-J17</f>
        <v>3</v>
      </c>
      <c r="S17" s="11" t="n">
        <f aca="false">O17-J17</f>
        <v>4</v>
      </c>
    </row>
    <row r="18" customFormat="false" ht="35.05" hidden="false" customHeight="false" outlineLevel="0" collapsed="false">
      <c r="A18" s="16" t="s">
        <v>283</v>
      </c>
      <c r="B18" s="16" t="s">
        <v>110</v>
      </c>
      <c r="C18" s="16" t="s">
        <v>117</v>
      </c>
      <c r="D18" s="16" t="s">
        <v>103</v>
      </c>
      <c r="E18" s="16" t="s">
        <v>118</v>
      </c>
      <c r="F18" s="16" t="s">
        <v>284</v>
      </c>
      <c r="G18" s="16" t="s">
        <v>83</v>
      </c>
      <c r="H18" s="16" t="s">
        <v>48</v>
      </c>
      <c r="I18" s="16" t="s">
        <v>121</v>
      </c>
      <c r="J18" s="17" t="n">
        <v>46209</v>
      </c>
      <c r="K18" s="16" t="s">
        <v>285</v>
      </c>
      <c r="L18" s="17" t="n">
        <v>46212</v>
      </c>
      <c r="M18" s="16" t="s">
        <v>228</v>
      </c>
      <c r="N18" s="16" t="s">
        <v>286</v>
      </c>
      <c r="O18" s="17" t="n">
        <v>46214</v>
      </c>
      <c r="P18" s="16" t="s">
        <v>230</v>
      </c>
      <c r="Q18" s="16" t="s">
        <v>40</v>
      </c>
      <c r="R18" s="11" t="n">
        <f aca="false">L18-J18</f>
        <v>3</v>
      </c>
      <c r="S18" s="11" t="n">
        <f aca="false">O18-J18</f>
        <v>5</v>
      </c>
    </row>
    <row r="19" customFormat="false" ht="23.85" hidden="false" customHeight="false" outlineLevel="0" collapsed="false">
      <c r="A19" s="16" t="s">
        <v>287</v>
      </c>
      <c r="B19" s="16" t="s">
        <v>123</v>
      </c>
      <c r="C19" s="16" t="s">
        <v>190</v>
      </c>
      <c r="D19" s="16" t="s">
        <v>169</v>
      </c>
      <c r="E19" s="16" t="s">
        <v>191</v>
      </c>
      <c r="F19" s="16" t="s">
        <v>187</v>
      </c>
      <c r="G19" s="16" t="s">
        <v>78</v>
      </c>
      <c r="H19" s="16" t="s">
        <v>49</v>
      </c>
      <c r="I19" s="16" t="s">
        <v>193</v>
      </c>
      <c r="J19" s="17" t="n">
        <v>46209</v>
      </c>
      <c r="K19" s="16" t="s">
        <v>288</v>
      </c>
      <c r="L19" s="17" t="n">
        <v>46216</v>
      </c>
      <c r="M19" s="16" t="s">
        <v>228</v>
      </c>
      <c r="N19" s="16" t="s">
        <v>229</v>
      </c>
      <c r="O19" s="17" t="n">
        <v>46217</v>
      </c>
      <c r="P19" s="16" t="s">
        <v>230</v>
      </c>
      <c r="Q19" s="16" t="s">
        <v>40</v>
      </c>
      <c r="R19" s="11" t="n">
        <f aca="false">L19-J19</f>
        <v>7</v>
      </c>
      <c r="S19" s="11" t="n">
        <f aca="false">O19-J19</f>
        <v>8</v>
      </c>
    </row>
    <row r="20" customFormat="false" ht="35.05" hidden="false" customHeight="false" outlineLevel="0" collapsed="false">
      <c r="A20" s="16" t="s">
        <v>289</v>
      </c>
      <c r="B20" s="16" t="s">
        <v>102</v>
      </c>
      <c r="C20" s="16" t="s">
        <v>163</v>
      </c>
      <c r="D20" s="16" t="s">
        <v>169</v>
      </c>
      <c r="E20" s="16" t="s">
        <v>186</v>
      </c>
      <c r="F20" s="16" t="s">
        <v>187</v>
      </c>
      <c r="G20" s="16" t="s">
        <v>78</v>
      </c>
      <c r="H20" s="16" t="s">
        <v>49</v>
      </c>
      <c r="I20" s="16" t="s">
        <v>189</v>
      </c>
      <c r="J20" s="17" t="n">
        <v>46244</v>
      </c>
      <c r="K20" s="16" t="s">
        <v>290</v>
      </c>
      <c r="L20" s="17" t="n">
        <v>46246</v>
      </c>
      <c r="M20" s="16" t="s">
        <v>228</v>
      </c>
      <c r="N20" s="16" t="s">
        <v>291</v>
      </c>
      <c r="O20" s="17" t="n">
        <v>46248</v>
      </c>
      <c r="P20" s="16" t="s">
        <v>230</v>
      </c>
      <c r="Q20" s="16" t="s">
        <v>41</v>
      </c>
      <c r="R20" s="11" t="n">
        <f aca="false">L20-J20</f>
        <v>2</v>
      </c>
      <c r="S20" s="11" t="n">
        <f aca="false">O20-J20</f>
        <v>4</v>
      </c>
    </row>
    <row r="21" customFormat="false" ht="35.05" hidden="false" customHeight="false" outlineLevel="0" collapsed="false">
      <c r="A21" s="16" t="s">
        <v>292</v>
      </c>
      <c r="B21" s="16" t="s">
        <v>110</v>
      </c>
      <c r="C21" s="16" t="s">
        <v>181</v>
      </c>
      <c r="D21" s="16" t="s">
        <v>169</v>
      </c>
      <c r="E21" s="16" t="s">
        <v>293</v>
      </c>
      <c r="F21" s="16" t="s">
        <v>196</v>
      </c>
      <c r="G21" s="16" t="s">
        <v>294</v>
      </c>
      <c r="H21" s="16" t="s">
        <v>268</v>
      </c>
      <c r="I21" s="16" t="s">
        <v>295</v>
      </c>
      <c r="J21" s="17" t="n">
        <v>46286</v>
      </c>
      <c r="K21" s="16" t="s">
        <v>296</v>
      </c>
      <c r="L21" s="17" t="n">
        <v>46292</v>
      </c>
      <c r="M21" s="16" t="s">
        <v>228</v>
      </c>
      <c r="N21" s="16" t="s">
        <v>297</v>
      </c>
      <c r="O21" s="17" t="n">
        <v>46293</v>
      </c>
      <c r="P21" s="16" t="s">
        <v>230</v>
      </c>
      <c r="Q21" s="16" t="s">
        <v>40</v>
      </c>
      <c r="R21" s="11" t="n">
        <f aca="false">L21-J21</f>
        <v>6</v>
      </c>
      <c r="S21" s="11" t="n">
        <f aca="false">O21-J21</f>
        <v>7</v>
      </c>
    </row>
  </sheetData>
  <autoFilter ref="A1:S2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8"/>
    <col collapsed="false" customWidth="true" hidden="false" outlineLevel="0" max="3" min="3" style="0" width="18"/>
    <col collapsed="false" customWidth="true" hidden="false" outlineLevel="0" max="4" min="4" style="0" width="40"/>
    <col collapsed="false" customWidth="true" hidden="false" outlineLevel="0" max="5" min="5" style="0" width="14"/>
    <col collapsed="false" customWidth="true" hidden="false" outlineLevel="0" max="6" min="6" style="0" width="80"/>
  </cols>
  <sheetData>
    <row r="1" customFormat="false" ht="27.75" hidden="false" customHeight="true" outlineLevel="0" collapsed="false">
      <c r="A1" s="7" t="s">
        <v>298</v>
      </c>
      <c r="B1" s="7" t="s">
        <v>67</v>
      </c>
      <c r="C1" s="7" t="s">
        <v>94</v>
      </c>
      <c r="D1" s="7" t="s">
        <v>299</v>
      </c>
      <c r="E1" s="7" t="s">
        <v>300</v>
      </c>
      <c r="F1" s="7" t="s">
        <v>301</v>
      </c>
    </row>
    <row r="2" customFormat="false" ht="15" hidden="false" customHeight="false" outlineLevel="0" collapsed="false">
      <c r="A2" s="16" t="s">
        <v>302</v>
      </c>
      <c r="B2" s="16" t="s">
        <v>80</v>
      </c>
      <c r="C2" s="16" t="s">
        <v>202</v>
      </c>
      <c r="D2" s="16" t="s">
        <v>303</v>
      </c>
      <c r="E2" s="16" t="s">
        <v>304</v>
      </c>
      <c r="F2" s="16" t="s">
        <v>305</v>
      </c>
    </row>
    <row r="3" customFormat="false" ht="15" hidden="false" customHeight="false" outlineLevel="0" collapsed="false">
      <c r="A3" s="16" t="s">
        <v>306</v>
      </c>
      <c r="B3" s="16" t="s">
        <v>80</v>
      </c>
      <c r="C3" s="16" t="s">
        <v>208</v>
      </c>
      <c r="D3" s="16" t="s">
        <v>307</v>
      </c>
      <c r="E3" s="16" t="s">
        <v>308</v>
      </c>
      <c r="F3" s="16" t="s">
        <v>305</v>
      </c>
    </row>
    <row r="4" customFormat="false" ht="35.05" hidden="false" customHeight="false" outlineLevel="0" collapsed="false">
      <c r="A4" s="16" t="s">
        <v>309</v>
      </c>
      <c r="B4" s="16" t="s">
        <v>161</v>
      </c>
      <c r="C4" s="16" t="s">
        <v>163</v>
      </c>
      <c r="D4" s="16" t="s">
        <v>310</v>
      </c>
      <c r="E4" s="16" t="s">
        <v>311</v>
      </c>
      <c r="F4" s="16" t="s">
        <v>312</v>
      </c>
    </row>
    <row r="5" customFormat="false" ht="15" hidden="false" customHeight="false" outlineLevel="0" collapsed="false">
      <c r="A5" s="16" t="s">
        <v>313</v>
      </c>
      <c r="B5" s="16" t="s">
        <v>72</v>
      </c>
      <c r="C5" s="16" t="s">
        <v>314</v>
      </c>
      <c r="D5" s="16" t="s">
        <v>315</v>
      </c>
      <c r="E5" s="16" t="s">
        <v>314</v>
      </c>
      <c r="F5" s="16" t="s">
        <v>316</v>
      </c>
    </row>
    <row r="6" customFormat="false" ht="15" hidden="false" customHeight="false" outlineLevel="0" collapsed="false">
      <c r="A6" s="16" t="s">
        <v>317</v>
      </c>
      <c r="B6" s="16" t="s">
        <v>87</v>
      </c>
      <c r="C6" s="16" t="s">
        <v>314</v>
      </c>
      <c r="D6" s="16" t="s">
        <v>315</v>
      </c>
      <c r="E6" s="16" t="s">
        <v>314</v>
      </c>
      <c r="F6" s="16" t="s">
        <v>318</v>
      </c>
    </row>
    <row r="7" customFormat="false" ht="23.85" hidden="false" customHeight="false" outlineLevel="0" collapsed="false">
      <c r="A7" s="16" t="s">
        <v>319</v>
      </c>
      <c r="B7" s="16" t="s">
        <v>320</v>
      </c>
      <c r="C7" s="16" t="s">
        <v>321</v>
      </c>
      <c r="D7" s="16" t="s">
        <v>322</v>
      </c>
      <c r="E7" s="16" t="s">
        <v>323</v>
      </c>
      <c r="F7" s="16" t="s">
        <v>324</v>
      </c>
    </row>
  </sheetData>
  <autoFilter ref="A1:F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2"/>
    <col collapsed="false" customWidth="true" hidden="false" outlineLevel="0" max="3" min="3" style="0" width="11"/>
    <col collapsed="false" customWidth="true" hidden="false" outlineLevel="0" max="4" min="4" style="0" width="6"/>
    <col collapsed="false" customWidth="true" hidden="false" outlineLevel="0" max="5" min="5" style="0" width="26"/>
    <col collapsed="false" customWidth="true" hidden="false" outlineLevel="0" max="7" min="6" style="0" width="22"/>
    <col collapsed="false" customWidth="true" hidden="false" outlineLevel="0" max="8" min="8" style="0" width="30"/>
    <col collapsed="false" customWidth="true" hidden="false" outlineLevel="0" max="9" min="9" style="0" width="22"/>
    <col collapsed="false" customWidth="true" hidden="false" outlineLevel="0" max="10" min="10" style="0" width="70"/>
  </cols>
  <sheetData>
    <row r="1" customFormat="false" ht="27.75" hidden="false" customHeight="true" outlineLevel="0" collapsed="false">
      <c r="A1" s="7" t="s">
        <v>325</v>
      </c>
      <c r="B1" s="7" t="s">
        <v>326</v>
      </c>
      <c r="C1" s="7" t="s">
        <v>94</v>
      </c>
      <c r="D1" s="7" t="s">
        <v>43</v>
      </c>
      <c r="E1" s="7" t="s">
        <v>96</v>
      </c>
      <c r="F1" s="7" t="s">
        <v>327</v>
      </c>
      <c r="G1" s="7" t="s">
        <v>328</v>
      </c>
      <c r="H1" s="7" t="s">
        <v>329</v>
      </c>
      <c r="I1" s="7" t="s">
        <v>330</v>
      </c>
      <c r="J1" s="7" t="s">
        <v>331</v>
      </c>
    </row>
    <row r="2" customFormat="false" ht="23.85" hidden="false" customHeight="false" outlineLevel="0" collapsed="false">
      <c r="A2" s="16" t="s">
        <v>332</v>
      </c>
      <c r="B2" s="17" t="n">
        <v>46051</v>
      </c>
      <c r="C2" s="16" t="s">
        <v>150</v>
      </c>
      <c r="D2" s="16" t="s">
        <v>141</v>
      </c>
      <c r="E2" s="16" t="s">
        <v>142</v>
      </c>
      <c r="F2" s="16" t="s">
        <v>226</v>
      </c>
      <c r="G2" s="16" t="s">
        <v>333</v>
      </c>
      <c r="H2" s="16" t="s">
        <v>228</v>
      </c>
      <c r="I2" s="16" t="s">
        <v>334</v>
      </c>
      <c r="J2" s="16" t="s">
        <v>335</v>
      </c>
    </row>
    <row r="3" customFormat="false" ht="23.85" hidden="false" customHeight="false" outlineLevel="0" collapsed="false">
      <c r="A3" s="16" t="s">
        <v>336</v>
      </c>
      <c r="B3" s="17" t="n">
        <v>46060</v>
      </c>
      <c r="C3" s="16" t="s">
        <v>146</v>
      </c>
      <c r="D3" s="16" t="s">
        <v>141</v>
      </c>
      <c r="E3" s="16" t="s">
        <v>142</v>
      </c>
      <c r="F3" s="16" t="s">
        <v>95</v>
      </c>
      <c r="G3" s="16" t="s">
        <v>110</v>
      </c>
      <c r="H3" s="16" t="s">
        <v>123</v>
      </c>
      <c r="I3" s="16" t="s">
        <v>337</v>
      </c>
      <c r="J3" s="16" t="s">
        <v>338</v>
      </c>
    </row>
    <row r="4" customFormat="false" ht="23.85" hidden="false" customHeight="false" outlineLevel="0" collapsed="false">
      <c r="A4" s="16" t="s">
        <v>339</v>
      </c>
      <c r="B4" s="17" t="n">
        <v>46071</v>
      </c>
      <c r="C4" s="16" t="s">
        <v>122</v>
      </c>
      <c r="D4" s="16" t="s">
        <v>103</v>
      </c>
      <c r="E4" s="16" t="s">
        <v>104</v>
      </c>
      <c r="F4" s="16" t="s">
        <v>235</v>
      </c>
      <c r="G4" s="16" t="s">
        <v>340</v>
      </c>
      <c r="H4" s="16" t="s">
        <v>341</v>
      </c>
      <c r="I4" s="16" t="s">
        <v>337</v>
      </c>
      <c r="J4" s="16" t="s">
        <v>342</v>
      </c>
    </row>
    <row r="5" customFormat="false" ht="23.85" hidden="false" customHeight="false" outlineLevel="0" collapsed="false">
      <c r="A5" s="16" t="s">
        <v>343</v>
      </c>
      <c r="B5" s="17" t="n">
        <v>46075</v>
      </c>
      <c r="C5" s="16" t="s">
        <v>140</v>
      </c>
      <c r="D5" s="16" t="s">
        <v>141</v>
      </c>
      <c r="E5" s="16" t="s">
        <v>142</v>
      </c>
      <c r="F5" s="16" t="s">
        <v>344</v>
      </c>
      <c r="G5" s="16" t="s">
        <v>345</v>
      </c>
      <c r="H5" s="16" t="s">
        <v>346</v>
      </c>
      <c r="I5" s="16" t="s">
        <v>347</v>
      </c>
      <c r="J5" s="16" t="s">
        <v>348</v>
      </c>
    </row>
    <row r="6" customFormat="false" ht="23.85" hidden="false" customHeight="false" outlineLevel="0" collapsed="false">
      <c r="A6" s="16" t="s">
        <v>349</v>
      </c>
      <c r="B6" s="17" t="n">
        <v>46075</v>
      </c>
      <c r="C6" s="16" t="s">
        <v>140</v>
      </c>
      <c r="D6" s="16" t="s">
        <v>141</v>
      </c>
      <c r="E6" s="16" t="s">
        <v>142</v>
      </c>
      <c r="F6" s="16" t="s">
        <v>143</v>
      </c>
      <c r="G6" s="16" t="s">
        <v>144</v>
      </c>
      <c r="H6" s="16" t="s">
        <v>350</v>
      </c>
      <c r="I6" s="16" t="s">
        <v>351</v>
      </c>
      <c r="J6" s="16" t="s">
        <v>348</v>
      </c>
    </row>
    <row r="7" customFormat="false" ht="23.85" hidden="false" customHeight="false" outlineLevel="0" collapsed="false">
      <c r="A7" s="16" t="s">
        <v>352</v>
      </c>
      <c r="B7" s="17" t="n">
        <v>46115</v>
      </c>
      <c r="C7" s="16" t="s">
        <v>127</v>
      </c>
      <c r="D7" s="16" t="s">
        <v>103</v>
      </c>
      <c r="E7" s="16" t="s">
        <v>128</v>
      </c>
      <c r="F7" s="16" t="s">
        <v>247</v>
      </c>
      <c r="G7" s="16" t="s">
        <v>353</v>
      </c>
      <c r="H7" s="16" t="s">
        <v>354</v>
      </c>
      <c r="I7" s="16" t="s">
        <v>334</v>
      </c>
      <c r="J7" s="16" t="s">
        <v>355</v>
      </c>
    </row>
    <row r="8" customFormat="false" ht="23.85" hidden="false" customHeight="false" outlineLevel="0" collapsed="false">
      <c r="A8" s="16" t="s">
        <v>356</v>
      </c>
      <c r="B8" s="17" t="n">
        <v>46116</v>
      </c>
      <c r="C8" s="16" t="s">
        <v>137</v>
      </c>
      <c r="D8" s="16" t="s">
        <v>141</v>
      </c>
      <c r="E8" s="16" t="s">
        <v>142</v>
      </c>
      <c r="F8" s="16" t="s">
        <v>250</v>
      </c>
      <c r="G8" s="16" t="s">
        <v>357</v>
      </c>
      <c r="H8" s="16" t="s">
        <v>358</v>
      </c>
      <c r="I8" s="16" t="s">
        <v>337</v>
      </c>
      <c r="J8" s="16" t="s">
        <v>359</v>
      </c>
    </row>
    <row r="9" customFormat="false" ht="15" hidden="false" customHeight="false" outlineLevel="0" collapsed="false">
      <c r="A9" s="16" t="s">
        <v>360</v>
      </c>
      <c r="B9" s="17" t="n">
        <v>46134</v>
      </c>
      <c r="C9" s="16" t="s">
        <v>122</v>
      </c>
      <c r="D9" s="16" t="s">
        <v>169</v>
      </c>
      <c r="E9" s="16" t="s">
        <v>177</v>
      </c>
      <c r="F9" s="16" t="s">
        <v>235</v>
      </c>
      <c r="G9" s="16" t="s">
        <v>361</v>
      </c>
      <c r="H9" s="16" t="s">
        <v>341</v>
      </c>
      <c r="I9" s="16" t="s">
        <v>337</v>
      </c>
      <c r="J9" s="16" t="s">
        <v>362</v>
      </c>
    </row>
    <row r="10" customFormat="false" ht="15" hidden="false" customHeight="false" outlineLevel="0" collapsed="false">
      <c r="A10" s="16" t="s">
        <v>363</v>
      </c>
      <c r="B10" s="17" t="n">
        <v>46144</v>
      </c>
      <c r="C10" s="16" t="s">
        <v>101</v>
      </c>
      <c r="D10" s="16" t="s">
        <v>103</v>
      </c>
      <c r="E10" s="16" t="s">
        <v>104</v>
      </c>
      <c r="F10" s="16" t="s">
        <v>260</v>
      </c>
      <c r="G10" s="16" t="s">
        <v>364</v>
      </c>
      <c r="H10" s="16" t="s">
        <v>365</v>
      </c>
      <c r="I10" s="16" t="s">
        <v>334</v>
      </c>
      <c r="J10" s="16" t="s">
        <v>366</v>
      </c>
    </row>
    <row r="11" customFormat="false" ht="23.85" hidden="false" customHeight="false" outlineLevel="0" collapsed="false">
      <c r="A11" s="16" t="s">
        <v>367</v>
      </c>
      <c r="B11" s="17" t="n">
        <v>46152</v>
      </c>
      <c r="C11" s="16" t="s">
        <v>132</v>
      </c>
      <c r="D11" s="16" t="s">
        <v>169</v>
      </c>
      <c r="E11" s="16" t="s">
        <v>174</v>
      </c>
      <c r="F11" s="16" t="s">
        <v>368</v>
      </c>
      <c r="G11" s="16" t="s">
        <v>369</v>
      </c>
      <c r="H11" s="16" t="s">
        <v>333</v>
      </c>
      <c r="I11" s="16" t="s">
        <v>347</v>
      </c>
      <c r="J11" s="16" t="s">
        <v>370</v>
      </c>
    </row>
    <row r="12" customFormat="false" ht="23.85" hidden="false" customHeight="false" outlineLevel="0" collapsed="false">
      <c r="A12" s="16" t="s">
        <v>371</v>
      </c>
      <c r="B12" s="17" t="n">
        <v>46195</v>
      </c>
      <c r="C12" s="16" t="s">
        <v>109</v>
      </c>
      <c r="D12" s="16" t="s">
        <v>103</v>
      </c>
      <c r="E12" s="16" t="s">
        <v>111</v>
      </c>
      <c r="F12" s="16" t="s">
        <v>267</v>
      </c>
      <c r="G12" s="16" t="s">
        <v>264</v>
      </c>
      <c r="H12" s="16" t="s">
        <v>228</v>
      </c>
      <c r="I12" s="16" t="s">
        <v>347</v>
      </c>
      <c r="J12" s="16" t="s">
        <v>372</v>
      </c>
    </row>
    <row r="13" customFormat="false" ht="23.85" hidden="false" customHeight="false" outlineLevel="0" collapsed="false">
      <c r="A13" s="16" t="s">
        <v>373</v>
      </c>
      <c r="B13" s="17" t="n">
        <v>46199</v>
      </c>
      <c r="C13" s="16" t="s">
        <v>194</v>
      </c>
      <c r="D13" s="16" t="s">
        <v>169</v>
      </c>
      <c r="E13" s="16" t="s">
        <v>374</v>
      </c>
      <c r="F13" s="16" t="s">
        <v>235</v>
      </c>
      <c r="G13" s="16" t="s">
        <v>375</v>
      </c>
      <c r="H13" s="16" t="s">
        <v>376</v>
      </c>
      <c r="I13" s="16" t="s">
        <v>334</v>
      </c>
      <c r="J13" s="16" t="s">
        <v>377</v>
      </c>
    </row>
    <row r="14" customFormat="false" ht="23.85" hidden="false" customHeight="false" outlineLevel="0" collapsed="false">
      <c r="A14" s="16" t="s">
        <v>378</v>
      </c>
      <c r="B14" s="17" t="n">
        <v>46199</v>
      </c>
      <c r="C14" s="16" t="s">
        <v>194</v>
      </c>
      <c r="D14" s="16" t="s">
        <v>169</v>
      </c>
      <c r="E14" s="16" t="s">
        <v>379</v>
      </c>
      <c r="F14" s="16" t="s">
        <v>235</v>
      </c>
      <c r="G14" s="16" t="s">
        <v>375</v>
      </c>
      <c r="H14" s="16" t="s">
        <v>380</v>
      </c>
      <c r="I14" s="16" t="s">
        <v>334</v>
      </c>
      <c r="J14" s="16" t="s">
        <v>377</v>
      </c>
    </row>
    <row r="15" customFormat="false" ht="23.85" hidden="false" customHeight="false" outlineLevel="0" collapsed="false">
      <c r="A15" s="16" t="s">
        <v>381</v>
      </c>
      <c r="B15" s="17" t="n">
        <v>46199</v>
      </c>
      <c r="C15" s="16" t="s">
        <v>194</v>
      </c>
      <c r="D15" s="16" t="s">
        <v>169</v>
      </c>
      <c r="E15" s="16" t="s">
        <v>382</v>
      </c>
      <c r="F15" s="16" t="s">
        <v>235</v>
      </c>
      <c r="G15" s="16" t="s">
        <v>375</v>
      </c>
      <c r="H15" s="16" t="s">
        <v>383</v>
      </c>
      <c r="I15" s="16" t="s">
        <v>334</v>
      </c>
      <c r="J15" s="16" t="s">
        <v>377</v>
      </c>
    </row>
    <row r="16" customFormat="false" ht="23.85" hidden="false" customHeight="false" outlineLevel="0" collapsed="false">
      <c r="A16" s="16" t="s">
        <v>384</v>
      </c>
      <c r="B16" s="17" t="n">
        <v>46199</v>
      </c>
      <c r="C16" s="16" t="s">
        <v>194</v>
      </c>
      <c r="D16" s="16" t="s">
        <v>169</v>
      </c>
      <c r="E16" s="16" t="s">
        <v>385</v>
      </c>
      <c r="F16" s="16" t="s">
        <v>235</v>
      </c>
      <c r="G16" s="16" t="s">
        <v>375</v>
      </c>
      <c r="H16" s="16" t="s">
        <v>386</v>
      </c>
      <c r="I16" s="16" t="s">
        <v>334</v>
      </c>
      <c r="J16" s="16" t="s">
        <v>377</v>
      </c>
    </row>
    <row r="17" customFormat="false" ht="23.85" hidden="false" customHeight="false" outlineLevel="0" collapsed="false">
      <c r="A17" s="16" t="s">
        <v>387</v>
      </c>
      <c r="B17" s="17" t="n">
        <v>46199</v>
      </c>
      <c r="C17" s="16" t="s">
        <v>194</v>
      </c>
      <c r="D17" s="16" t="s">
        <v>169</v>
      </c>
      <c r="E17" s="16" t="s">
        <v>388</v>
      </c>
      <c r="F17" s="16" t="s">
        <v>235</v>
      </c>
      <c r="G17" s="16" t="s">
        <v>375</v>
      </c>
      <c r="H17" s="16" t="s">
        <v>389</v>
      </c>
      <c r="I17" s="16" t="s">
        <v>334</v>
      </c>
      <c r="J17" s="16" t="s">
        <v>377</v>
      </c>
    </row>
    <row r="18" customFormat="false" ht="23.85" hidden="false" customHeight="false" outlineLevel="0" collapsed="false">
      <c r="A18" s="16" t="s">
        <v>390</v>
      </c>
      <c r="B18" s="17" t="n">
        <v>46201</v>
      </c>
      <c r="C18" s="16" t="s">
        <v>137</v>
      </c>
      <c r="D18" s="16" t="s">
        <v>103</v>
      </c>
      <c r="E18" s="16" t="s">
        <v>138</v>
      </c>
      <c r="F18" s="16" t="s">
        <v>235</v>
      </c>
      <c r="G18" s="16" t="s">
        <v>340</v>
      </c>
      <c r="H18" s="16" t="s">
        <v>341</v>
      </c>
      <c r="I18" s="16" t="s">
        <v>337</v>
      </c>
      <c r="J18" s="16" t="s">
        <v>391</v>
      </c>
    </row>
    <row r="19" customFormat="false" ht="15" hidden="false" customHeight="false" outlineLevel="0" collapsed="false">
      <c r="A19" s="16" t="s">
        <v>392</v>
      </c>
      <c r="B19" s="17" t="n">
        <v>46212</v>
      </c>
      <c r="C19" s="16" t="s">
        <v>127</v>
      </c>
      <c r="D19" s="16" t="s">
        <v>169</v>
      </c>
      <c r="E19" s="16" t="s">
        <v>170</v>
      </c>
      <c r="F19" s="16" t="s">
        <v>187</v>
      </c>
      <c r="G19" s="16" t="s">
        <v>333</v>
      </c>
      <c r="H19" s="16" t="s">
        <v>393</v>
      </c>
      <c r="I19" s="16" t="s">
        <v>334</v>
      </c>
      <c r="J19" s="16" t="s">
        <v>394</v>
      </c>
    </row>
    <row r="20" customFormat="false" ht="23.85" hidden="false" customHeight="false" outlineLevel="0" collapsed="false">
      <c r="A20" s="16" t="s">
        <v>395</v>
      </c>
      <c r="B20" s="17" t="n">
        <v>46212</v>
      </c>
      <c r="C20" s="16" t="s">
        <v>117</v>
      </c>
      <c r="D20" s="16" t="s">
        <v>103</v>
      </c>
      <c r="E20" s="16" t="s">
        <v>118</v>
      </c>
      <c r="F20" s="16" t="s">
        <v>284</v>
      </c>
      <c r="G20" s="16" t="s">
        <v>228</v>
      </c>
      <c r="H20" s="16" t="s">
        <v>264</v>
      </c>
      <c r="I20" s="16" t="s">
        <v>347</v>
      </c>
      <c r="J20" s="16" t="s">
        <v>396</v>
      </c>
    </row>
    <row r="21" customFormat="false" ht="15" hidden="false" customHeight="false" outlineLevel="0" collapsed="false">
      <c r="A21" s="16" t="s">
        <v>397</v>
      </c>
      <c r="B21" s="17" t="n">
        <v>46216</v>
      </c>
      <c r="C21" s="16" t="s">
        <v>190</v>
      </c>
      <c r="D21" s="16" t="s">
        <v>169</v>
      </c>
      <c r="E21" s="16" t="s">
        <v>191</v>
      </c>
      <c r="F21" s="16" t="s">
        <v>187</v>
      </c>
      <c r="G21" s="16" t="s">
        <v>192</v>
      </c>
      <c r="H21" s="16" t="s">
        <v>398</v>
      </c>
      <c r="I21" s="16" t="s">
        <v>337</v>
      </c>
      <c r="J21" s="16" t="s">
        <v>399</v>
      </c>
    </row>
    <row r="22" customFormat="false" ht="15" hidden="false" customHeight="false" outlineLevel="0" collapsed="false">
      <c r="A22" s="16" t="s">
        <v>400</v>
      </c>
      <c r="B22" s="17" t="n">
        <v>46292</v>
      </c>
      <c r="C22" s="16" t="s">
        <v>181</v>
      </c>
      <c r="D22" s="16" t="s">
        <v>169</v>
      </c>
      <c r="E22" s="16" t="s">
        <v>401</v>
      </c>
      <c r="F22" s="16" t="s">
        <v>196</v>
      </c>
      <c r="G22" s="16" t="s">
        <v>402</v>
      </c>
      <c r="H22" s="16" t="s">
        <v>199</v>
      </c>
      <c r="I22" s="16" t="s">
        <v>347</v>
      </c>
      <c r="J22" s="16" t="s">
        <v>403</v>
      </c>
    </row>
  </sheetData>
  <autoFilter ref="A1:J2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1"/>
    <col collapsed="false" customWidth="true" hidden="false" outlineLevel="0" max="3" min="3" style="0" width="6"/>
    <col collapsed="false" customWidth="true" hidden="false" outlineLevel="0" max="4" min="4" style="0" width="34"/>
    <col collapsed="false" customWidth="true" hidden="false" outlineLevel="0" max="5" min="5" style="0" width="32"/>
    <col collapsed="false" customWidth="true" hidden="false" outlineLevel="0" max="6" min="6" style="0" width="28"/>
    <col collapsed="false" customWidth="true" hidden="false" outlineLevel="0" max="7" min="7" style="0" width="30"/>
  </cols>
  <sheetData>
    <row r="1" customFormat="false" ht="27.75" hidden="false" customHeight="true" outlineLevel="0" collapsed="false">
      <c r="A1" s="7" t="s">
        <v>67</v>
      </c>
      <c r="B1" s="7" t="s">
        <v>94</v>
      </c>
      <c r="C1" s="7" t="s">
        <v>43</v>
      </c>
      <c r="D1" s="7" t="s">
        <v>96</v>
      </c>
      <c r="E1" s="7" t="s">
        <v>98</v>
      </c>
      <c r="F1" s="7" t="s">
        <v>404</v>
      </c>
      <c r="G1" s="7" t="s">
        <v>405</v>
      </c>
    </row>
    <row r="2" customFormat="false" ht="15" hidden="false" customHeight="false" outlineLevel="0" collapsed="false">
      <c r="A2" s="16" t="s">
        <v>86</v>
      </c>
      <c r="B2" s="16" t="s">
        <v>132</v>
      </c>
      <c r="C2" s="16" t="s">
        <v>103</v>
      </c>
      <c r="D2" s="16" t="s">
        <v>133</v>
      </c>
      <c r="E2" s="16" t="s">
        <v>135</v>
      </c>
      <c r="F2" s="16" t="s">
        <v>406</v>
      </c>
      <c r="G2" s="16" t="s">
        <v>407</v>
      </c>
    </row>
    <row r="3" customFormat="false" ht="15" hidden="false" customHeight="false" outlineLevel="0" collapsed="false">
      <c r="A3" s="16" t="s">
        <v>73</v>
      </c>
      <c r="B3" s="16" t="s">
        <v>154</v>
      </c>
      <c r="C3" s="16" t="s">
        <v>141</v>
      </c>
      <c r="D3" s="16" t="s">
        <v>142</v>
      </c>
      <c r="E3" s="16" t="s">
        <v>156</v>
      </c>
      <c r="F3" s="16" t="s">
        <v>408</v>
      </c>
      <c r="G3" s="16" t="s">
        <v>407</v>
      </c>
    </row>
    <row r="4" customFormat="false" ht="15" hidden="false" customHeight="false" outlineLevel="0" collapsed="false">
      <c r="A4" s="16" t="s">
        <v>161</v>
      </c>
      <c r="B4" s="16" t="s">
        <v>163</v>
      </c>
      <c r="C4" s="16" t="s">
        <v>103</v>
      </c>
      <c r="D4" s="16" t="s">
        <v>164</v>
      </c>
      <c r="E4" s="16" t="s">
        <v>166</v>
      </c>
      <c r="F4" s="16" t="s">
        <v>409</v>
      </c>
      <c r="G4" s="16" t="s">
        <v>407</v>
      </c>
    </row>
    <row r="5" customFormat="false" ht="15" hidden="false" customHeight="false" outlineLevel="0" collapsed="false">
      <c r="A5" s="16" t="s">
        <v>78</v>
      </c>
      <c r="B5" s="16" t="s">
        <v>163</v>
      </c>
      <c r="C5" s="16" t="s">
        <v>169</v>
      </c>
      <c r="D5" s="16" t="s">
        <v>186</v>
      </c>
      <c r="E5" s="16" t="s">
        <v>188</v>
      </c>
      <c r="F5" s="16" t="s">
        <v>410</v>
      </c>
      <c r="G5" s="16" t="s">
        <v>407</v>
      </c>
    </row>
    <row r="6" customFormat="false" ht="15" hidden="false" customHeight="false" outlineLevel="0" collapsed="false">
      <c r="A6" s="16" t="s">
        <v>80</v>
      </c>
      <c r="B6" s="16" t="s">
        <v>202</v>
      </c>
      <c r="C6" s="16" t="s">
        <v>169</v>
      </c>
      <c r="D6" s="16" t="s">
        <v>203</v>
      </c>
      <c r="E6" s="16" t="s">
        <v>205</v>
      </c>
      <c r="F6" s="16" t="s">
        <v>411</v>
      </c>
      <c r="G6" s="16" t="s">
        <v>407</v>
      </c>
    </row>
    <row r="7" customFormat="false" ht="15" hidden="false" customHeight="false" outlineLevel="0" collapsed="false">
      <c r="A7" s="16" t="s">
        <v>80</v>
      </c>
      <c r="B7" s="16" t="s">
        <v>208</v>
      </c>
      <c r="C7" s="16" t="s">
        <v>169</v>
      </c>
      <c r="D7" s="16" t="s">
        <v>203</v>
      </c>
      <c r="E7" s="16" t="s">
        <v>209</v>
      </c>
      <c r="F7" s="16" t="s">
        <v>412</v>
      </c>
      <c r="G7" s="16" t="s">
        <v>407</v>
      </c>
    </row>
    <row r="8" customFormat="false" ht="15" hidden="false" customHeight="false" outlineLevel="0" collapsed="false">
      <c r="A8" s="16" t="s">
        <v>80</v>
      </c>
      <c r="B8" s="16" t="s">
        <v>211</v>
      </c>
      <c r="C8" s="16" t="s">
        <v>169</v>
      </c>
      <c r="D8" s="16" t="s">
        <v>203</v>
      </c>
      <c r="E8" s="16" t="s">
        <v>212</v>
      </c>
      <c r="F8" s="16" t="s">
        <v>413</v>
      </c>
      <c r="G8" s="16" t="s">
        <v>407</v>
      </c>
    </row>
  </sheetData>
  <autoFilter ref="A1:G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2026-10-02T15:20:37Z</dcterms:created>
  <dc:creator>openpyxl</dc:creator>
  <dc:description/>
  <dc:language>en-US</dc:language>
  <cp:lastModifiedBy/>
  <dcterms:modified xsi:type="dcterms:W3CDTF">2026-10-02T15:20:39Z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